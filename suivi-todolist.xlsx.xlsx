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Feuil4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<sst xmlns="http://schemas.openxmlformats.org/spreadsheetml/2006/main" count="486" uniqueCount="233">
  <si>
    <t xml:space="preserve">Qui</t>
  </si>
  <si>
    <t xml:space="preserve">Somme de Estimation</t>
  </si>
  <si>
    <t xml:space="preserve">Johny</t>
  </si>
  <si>
    <t xml:space="preserve">Jeannie</t>
  </si>
  <si>
    <t xml:space="preserve">Total Result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</si>
  <si>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</si>
  <si>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</si>
  <si>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</si>
  <si>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</si>
  <si>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</si>
  <si>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</si>
  <si>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</si>
  <si>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</si>
  <si>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Status</t>
  </si>
  <si>
    <t xml:space="preserve">Initialisation</t>
  </si>
  <si>
    <t xml:space="preserve">readme.md</t>
  </si>
  <si>
    <t xml:space="preserve">Création guide installation projet</t>
  </si>
  <si>
    <t xml:space="preserve">Documentation</t>
  </si>
  <si>
    <t xml:space="preserve">Faneva</t>
  </si>
  <si>
    <t xml:space="preserve">.gitignore</t>
  </si>
  <si>
    <t xml:space="preserve">Configuration gitignore CodeIgniter</t>
  </si>
  <si>
    <t xml:space="preserve">Configuration</t>
  </si>
  <si>
    <t xml:space="preserve">base_database.sql</t>
  </si>
  <si>
    <t xml:space="preserve">Création structure base MySQL</t>
  </si>
  <si>
    <t xml:space="preserve">Base</t>
  </si>
  <si>
    <t xml:space="preserve">insert_dataset.sql</t>
  </si>
  <si>
    <t xml:space="preserve">Insertion données minimales utilisateurs et régimes</t>
  </si>
  <si>
    <t xml:space="preserve">routes/app_routes.php</t>
  </si>
  <si>
    <t xml:space="preserve">Configuration routes principales</t>
  </si>
  <si>
    <t xml:space="preserve">Login</t>
  </si>
  <si>
    <t xml:space="preserve">views/login/inscription-step1.php</t>
  </si>
  <si>
    <t xml:space="preserve">Formulaire inscription utilisateur page 1</t>
  </si>
  <si>
    <t xml:space="preserve">Affichage</t>
  </si>
  <si>
    <t xml:space="preserve">assets/css/inscription-step1.css</t>
  </si>
  <si>
    <t xml:space="preserve">Design page inscription 1</t>
  </si>
  <si>
    <t xml:space="preserve">assets/js/inscription-step1.js</t>
  </si>
  <si>
    <t xml:space="preserve">Validation JS formulaire page 1</t>
  </si>
  <si>
    <t xml:space="preserve">Front validation</t>
  </si>
  <si>
    <t xml:space="preserve">controllers/LoginController.php</t>
  </si>
  <si>
    <t xml:space="preserve">Traitement inscription étape 1</t>
  </si>
  <si>
    <t xml:space="preserve">Code intégration</t>
  </si>
  <si>
    <t xml:space="preserve">models/UtilisateurModel.php</t>
  </si>
  <si>
    <t xml:space="preserve">Fonctions utilisateur inscription</t>
  </si>
  <si>
    <t xml:space="preserve">Model</t>
  </si>
  <si>
    <t xml:space="preserve">routes/login_routes.php</t>
  </si>
  <si>
    <t xml:space="preserve">Routes module login utilisateur</t>
  </si>
  <si>
    <t xml:space="preserve">Route</t>
  </si>
  <si>
    <t xml:space="preserve">views/login/inscription-step2.php</t>
  </si>
  <si>
    <t xml:space="preserve">Formulaire informations santé</t>
  </si>
  <si>
    <t xml:space="preserve">assets/css/inscription-step2.css</t>
  </si>
  <si>
    <t xml:space="preserve">Design page informations santé</t>
  </si>
  <si>
    <t xml:space="preserve">controllers/SanteController.php</t>
  </si>
  <si>
    <t xml:space="preserve">Insertion informations santé utilisateur</t>
  </si>
  <si>
    <t xml:space="preserve">models/SanteModel.php</t>
  </si>
  <si>
    <t xml:space="preserve">Gestion données santé utilisateur</t>
  </si>
  <si>
    <t xml:space="preserve">views/login/login-page.php</t>
  </si>
  <si>
    <t xml:space="preserve">Formulaire connexion utilisateur</t>
  </si>
  <si>
    <t xml:space="preserve">assets/css/login-page.css</t>
  </si>
  <si>
    <t xml:space="preserve">Design page connexion utilisateur</t>
  </si>
  <si>
    <t xml:space="preserve">assets/js/login-page.js</t>
  </si>
  <si>
    <t xml:space="preserve">Validation formulaire connexion</t>
  </si>
  <si>
    <t xml:space="preserve">controllers/AuthController.php</t>
  </si>
  <si>
    <t xml:space="preserve">Vérification email et mot de passe</t>
  </si>
  <si>
    <t xml:space="preserve">routes/auth_routes.php</t>
  </si>
  <si>
    <t xml:space="preserve">Routes authentification utilisateur</t>
  </si>
  <si>
    <t xml:space="preserve">Profil</t>
  </si>
  <si>
    <t xml:space="preserve">views/profil/profil-user.php</t>
  </si>
  <si>
    <t xml:space="preserve">Affichage profil utilisateur</t>
  </si>
  <si>
    <t xml:space="preserve">assets/css/profil-user.css</t>
  </si>
  <si>
    <t xml:space="preserve">Design page profil utilisateur</t>
  </si>
  <si>
    <t xml:space="preserve">controllers/ProfilController.php</t>
  </si>
  <si>
    <t xml:space="preserve">Modification informations utilisateur</t>
  </si>
  <si>
    <t xml:space="preserve">controllers/UploadController.php</t>
  </si>
  <si>
    <t xml:space="preserve">Ajout photo de profil utilisateur</t>
  </si>
  <si>
    <t xml:space="preserve">routes/profil_routes.php</t>
  </si>
  <si>
    <t xml:space="preserve">Routes module profil utilisateur</t>
  </si>
  <si>
    <t xml:space="preserve">views/profil/portefeuille-user.php</t>
  </si>
  <si>
    <t xml:space="preserve">Affichage solde portefeuille</t>
  </si>
  <si>
    <t xml:space="preserve">controllers/ObjectifController.php</t>
  </si>
  <si>
    <t xml:space="preserve">Changer objectif utilisateur</t>
  </si>
  <si>
    <t xml:space="preserve">controllers/ImcController.php</t>
  </si>
  <si>
    <t xml:space="preserve">Calcul et affichage IMC utilisateur</t>
  </si>
  <si>
    <t xml:space="preserve">Function</t>
  </si>
  <si>
    <t xml:space="preserve">models/PortefeuilleModel.php</t>
  </si>
  <si>
    <t xml:space="preserve">Gestion portefeuille utilisateur</t>
  </si>
  <si>
    <t xml:space="preserve">models/ObjectifModel.php</t>
  </si>
  <si>
    <t xml:space="preserve">Gestion objectifs utilisateur</t>
  </si>
  <si>
    <t xml:space="preserve">views/profil/calendrier-user.php</t>
  </si>
  <si>
    <t xml:space="preserve">Calendrier progression utilisateur</t>
  </si>
  <si>
    <t xml:space="preserve">views/profil/historique-activite.php</t>
  </si>
  <si>
    <t xml:space="preserve">Historique activité utilisateur</t>
  </si>
  <si>
    <t xml:space="preserve">controllers/PdfController.php</t>
  </si>
  <si>
    <t xml:space="preserve">Export informations utilisateur PDF</t>
  </si>
  <si>
    <t xml:space="preserve">routes/calendrier_routes.php</t>
  </si>
  <si>
    <t xml:space="preserve">Routes calendrier et historique</t>
  </si>
  <si>
    <t xml:space="preserve">Portefeuille</t>
  </si>
  <si>
    <t xml:space="preserve">views/portefeuille/achat-code.php</t>
  </si>
  <si>
    <t xml:space="preserve">Formulaire achat code portefeuille</t>
  </si>
  <si>
    <t xml:space="preserve">assets/css/achat-code.css</t>
  </si>
  <si>
    <t xml:space="preserve">Design formulaire achat code</t>
  </si>
  <si>
    <t xml:space="preserve">controllers/CodeController.php</t>
  </si>
  <si>
    <t xml:space="preserve">Génération code portefeuille</t>
  </si>
  <si>
    <t xml:space="preserve">controllers/PaiementController.php</t>
  </si>
  <si>
    <t xml:space="preserve">Choix moyen paiement mobile money</t>
  </si>
  <si>
    <t xml:space="preserve">routes/paiement_routes.php</t>
  </si>
  <si>
    <t xml:space="preserve">Routes paiement et génération code</t>
  </si>
  <si>
    <t xml:space="preserve">views/portefeuille/validation-code.php</t>
  </si>
  <si>
    <t xml:space="preserve">Page saisie code portefeuille</t>
  </si>
  <si>
    <t xml:space="preserve">controllers/ValidationCodeController.php</t>
  </si>
  <si>
    <t xml:space="preserve">Ajout argent dans portefeuille</t>
  </si>
  <si>
    <t xml:space="preserve">models/CodePortefeuilleModel.php</t>
  </si>
  <si>
    <t xml:space="preserve">Gestion code portefeuille</t>
  </si>
  <si>
    <t xml:space="preserve">routes/portefeuille_routes.php</t>
  </si>
  <si>
    <t xml:space="preserve">Routes portefeuille utilisateur</t>
  </si>
  <si>
    <t xml:space="preserve">Dashboard utilisateur</t>
  </si>
  <si>
    <t xml:space="preserve">views/dashboard/dashboard-user.php</t>
  </si>
  <si>
    <t xml:space="preserve">Dashboard principal utilisateur</t>
  </si>
  <si>
    <t xml:space="preserve">assets/css/dashboard-user.css</t>
  </si>
  <si>
    <t xml:space="preserve">Design dashboard utilisateur</t>
  </si>
  <si>
    <t xml:space="preserve">controllers/VariationController.php</t>
  </si>
  <si>
    <t xml:space="preserve">Affichage évolution poids utilisateur</t>
  </si>
  <si>
    <t xml:space="preserve">controllers/RegimeActuelController.php</t>
  </si>
  <si>
    <t xml:space="preserve">Affichage régime actuel utilisateur</t>
  </si>
  <si>
    <t xml:space="preserve">views/dashboard/historique-regime.php</t>
  </si>
  <si>
    <t xml:space="preserve">Historique régimes consommés</t>
  </si>
  <si>
    <t xml:space="preserve">routes/dashboard_routes.php</t>
  </si>
  <si>
    <t xml:space="preserve">Routes dashboard utilisateur</t>
  </si>
  <si>
    <t xml:space="preserve">Regime</t>
  </si>
  <si>
    <t xml:space="preserve">views/regime/regime-list.php</t>
  </si>
  <si>
    <t xml:space="preserve">Affichage liste régimes disponibles</t>
  </si>
  <si>
    <t xml:space="preserve">views/regime/detail-regime.php</t>
  </si>
  <si>
    <t xml:space="preserve">Détails régime et durée</t>
  </si>
  <si>
    <t xml:space="preserve">controllers/ChoixRegimeController.php</t>
  </si>
  <si>
    <t xml:space="preserve">Sélection régime utilisateur</t>
  </si>
  <si>
    <t xml:space="preserve">controllers/GoldController.php</t>
  </si>
  <si>
    <t xml:space="preserve">Calcul remise utilisateur Gold</t>
  </si>
  <si>
    <t xml:space="preserve">models/RegimeModel.php</t>
  </si>
  <si>
    <t xml:space="preserve">Gestion données régimes</t>
  </si>
  <si>
    <t xml:space="preserve">routes/regime_routes.php</t>
  </si>
  <si>
    <t xml:space="preserve">Routes gestion régimes</t>
  </si>
  <si>
    <t xml:space="preserve">views/regime/activite-sportive.php</t>
  </si>
  <si>
    <t xml:space="preserve">Affichage activités sportives associées</t>
  </si>
  <si>
    <t xml:space="preserve">controllers/RecommandationController.php</t>
  </si>
  <si>
    <t xml:space="preserve">Suggestion régime selon objectif</t>
  </si>
  <si>
    <t xml:space="preserve">controllers/CalculImcController.php</t>
  </si>
  <si>
    <t xml:space="preserve">Association IMC et régime conseillé</t>
  </si>
  <si>
    <t xml:space="preserve">models/PlatModel.php</t>
  </si>
  <si>
    <t xml:space="preserve">Gestion plats alimentaires</t>
  </si>
  <si>
    <t xml:space="preserve">models/AlimentModel.php</t>
  </si>
  <si>
    <t xml:space="preserve">Gestion aliments</t>
  </si>
  <si>
    <t xml:space="preserve">routes/recommandation_routes.php</t>
  </si>
  <si>
    <t xml:space="preserve">Routes recommandations régimes</t>
  </si>
  <si>
    <t xml:space="preserve">Back Office</t>
  </si>
  <si>
    <t xml:space="preserve">views/admin/admin-login.php</t>
  </si>
  <si>
    <t xml:space="preserve">Page connexion administrateur</t>
  </si>
  <si>
    <t xml:space="preserve">controllers/AdminAuthController.php</t>
  </si>
  <si>
    <t xml:space="preserve">Vérification connexion admin</t>
  </si>
  <si>
    <t xml:space="preserve">views/admin/dashboard-admin.php</t>
  </si>
  <si>
    <t xml:space="preserve">Dashboard principal admin</t>
  </si>
  <si>
    <t xml:space="preserve">controllers/StatUtilisateurController.php</t>
  </si>
  <si>
    <t xml:space="preserve">Graphe variation utilisateurs</t>
  </si>
  <si>
    <t xml:space="preserve">Statistique</t>
  </si>
  <si>
    <t xml:space="preserve">controllers/StatTypeUtilisateurController.php</t>
  </si>
  <si>
    <t xml:space="preserve">Graphe utilisateur Simple et Gold</t>
  </si>
  <si>
    <t xml:space="preserve">controllers/StatChiffreAffaireController.php</t>
  </si>
  <si>
    <t xml:space="preserve">Graphe chiffre d'affaire</t>
  </si>
  <si>
    <t xml:space="preserve">controllers/StatRegimeController.php</t>
  </si>
  <si>
    <t xml:space="preserve">Graphe régimes et plats populaires</t>
  </si>
  <si>
    <t xml:space="preserve">routes/admin_routes.php</t>
  </si>
  <si>
    <t xml:space="preserve">Routes back office administrateur</t>
  </si>
  <si>
    <t xml:space="preserve">CRUD Régime</t>
  </si>
  <si>
    <t xml:space="preserve">controllers/CrudRegimeController.php</t>
  </si>
  <si>
    <t xml:space="preserve">CRUD régimes alimentaires</t>
  </si>
  <si>
    <t xml:space="preserve">CRUD</t>
  </si>
  <si>
    <t xml:space="preserve">controllers/CrudPlatController.php</t>
  </si>
  <si>
    <t xml:space="preserve">CRUD plats alimentaires</t>
  </si>
  <si>
    <t xml:space="preserve">controllers/CrudAlimentController.php</t>
  </si>
  <si>
    <t xml:space="preserve">CRUD aliments</t>
  </si>
  <si>
    <t xml:space="preserve">routes/crud_regime_routes.php</t>
  </si>
  <si>
    <t xml:space="preserve">Routes CRUD régimes et plats</t>
  </si>
  <si>
    <t xml:space="preserve">controllers/CrudActiviteController.php</t>
  </si>
  <si>
    <t xml:space="preserve">CRUD activités sportives</t>
  </si>
  <si>
    <t xml:space="preserve">controllers/CrudTypeUtilisateurController.php</t>
  </si>
  <si>
    <t xml:space="preserve">CRUD type utilisateur Simple et Gold</t>
  </si>
  <si>
    <t xml:space="preserve">controllers/CrudCodeController.php</t>
  </si>
  <si>
    <t xml:space="preserve">Validation codes portefeuille utilisateurs</t>
  </si>
  <si>
    <t xml:space="preserve">routes/crud_admin_routes.php</t>
  </si>
  <si>
    <t xml:space="preserve">Routes CRUD administration</t>
  </si>
  <si>
    <t xml:space="preserve">Base de données</t>
  </si>
  <si>
    <t xml:space="preserve">database/table_utilisateur.sql</t>
  </si>
  <si>
    <t xml:space="preserve">Création table utilisateur</t>
  </si>
  <si>
    <t xml:space="preserve">database/table_type_utilisateur.sql</t>
  </si>
  <si>
    <t xml:space="preserve">Création table type utilisateur</t>
  </si>
  <si>
    <t xml:space="preserve">database/table_admin.sql</t>
  </si>
  <si>
    <t xml:space="preserve">Création table administrateur</t>
  </si>
  <si>
    <t xml:space="preserve">database/table_aliment.sql</t>
  </si>
  <si>
    <t xml:space="preserve">Création table aliment</t>
  </si>
  <si>
    <t xml:space="preserve">database/table_plat.sql</t>
  </si>
  <si>
    <t xml:space="preserve">Création table plat</t>
  </si>
  <si>
    <t xml:space="preserve">database/table_aliment_plat.sql</t>
  </si>
  <si>
    <t xml:space="preserve">Création table aliment plat</t>
  </si>
  <si>
    <t xml:space="preserve">database/table_regime.sql</t>
  </si>
  <si>
    <t xml:space="preserve">Création table régime</t>
  </si>
  <si>
    <t xml:space="preserve">database/table_activite_sportive.sql</t>
  </si>
  <si>
    <t xml:space="preserve">Création table activité sportive</t>
  </si>
  <si>
    <t xml:space="preserve">database/table_code_portefeuille.sql</t>
  </si>
  <si>
    <t xml:space="preserve">Création table code portefeuille</t>
  </si>
  <si>
    <t xml:space="preserve">Tests</t>
  </si>
  <si>
    <t xml:space="preserve">tests/test-login.php</t>
  </si>
  <si>
    <t xml:space="preserve">Test authentification utilisateur</t>
  </si>
  <si>
    <t xml:space="preserve">Test</t>
  </si>
  <si>
    <t xml:space="preserve">tests/test-regime.php</t>
  </si>
  <si>
    <t xml:space="preserve">Test suggestion régime</t>
  </si>
  <si>
    <t xml:space="preserve">tests/test-dashboard.php</t>
  </si>
  <si>
    <t xml:space="preserve">Test dashboard utilisateur et admin</t>
  </si>
  <si>
    <t xml:space="preserve">Finalisation</t>
  </si>
  <si>
    <t xml:space="preserve">assets/css/responsive.css</t>
  </si>
  <si>
    <t xml:space="preserve">Adaptation responsive mobile</t>
  </si>
  <si>
    <t xml:space="preserve">Design</t>
  </si>
  <si>
    <t xml:space="preserve">tests/validation-globale.php</t>
  </si>
  <si>
    <t xml:space="preserve">Validation globale application</t>
  </si>
  <si>
    <t xml:space="preserve">maintenance/correction-bugs.php</t>
  </si>
  <si>
    <t xml:space="preserve">Correction bugs finaux</t>
  </si>
  <si>
    <t xml:space="preserve">Maintenance</t>
  </si>
  <si>
    <t xml:space="preserve">merge-dev-main</t>
  </si>
  <si>
    <t xml:space="preserve">Merge final branche dev vers main</t>
  </si>
  <si>
    <t xml:space="preserve">Git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</si>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</sst>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0\ %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b val="true"/>
      <sz val="12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A1:J200" sheet="liste des taches"/>
  </cacheSource>
  <cacheFields count="10">
    <cacheField name="Module" numFmtId="0">
      <sharedItems containsBlank="1" count="3">
        <s v="dashboard"/>
        <s v="Login"/>
        <m/>
      </sharedItems>
    </cacheField>
    <cacheField name="Nom page" numFmtId="0">
      <sharedItems containsBlank="1" count="4">
        <s v="fonctions.php"/>
        <s v="index.php"/>
        <s v="traitement-login.php"/>
        <m/>
      </sharedItems>
    </cacheField>
    <cacheField name="Description" numFmtId="0">
      <sharedItems containsBlank="1" count="7">
        <s v="checkLogin"/>
        <s v="Création html"/>
        <s v="Design css"/>
        <s v="données test"/>
        <s v="fonctionnement login"/>
        <s v="table login"/>
        <m/>
      </sharedItems>
    </cacheField>
    <cacheField name="Type" numFmtId="0">
      <sharedItems containsBlank="1" count="5">
        <s v="Affichage"/>
        <s v="Base"/>
        <s v="Code intégration"/>
        <s v="Fonction"/>
        <m/>
      </sharedItems>
    </cacheField>
    <cacheField name="Estimation" numFmtId="0">
      <sharedItems containsString="0" containsBlank="1" containsNumber="1" containsInteger="1" minValue="10" maxValue="180" count="5">
        <n v="10"/>
        <n v="15"/>
        <n v="30"/>
        <n v="180"/>
        <m/>
      </sharedItems>
    </cacheField>
    <cacheField name="Temps passé" numFmtId="0">
      <sharedItems containsString="0" containsBlank="1" containsNumber="1" containsInteger="1" minValue="2" maxValue="60" count="5">
        <n v="2"/>
        <n v="20"/>
        <n v="30"/>
        <n v="60"/>
        <m/>
      </sharedItems>
    </cacheField>
    <cacheField name="Reste à faire" numFmtId="0">
      <sharedItems containsString="0" containsBlank="1" containsNumber="1" containsInteger="1" minValue="0" maxValue="30" count="4">
        <n v="0"/>
        <n v="10"/>
        <n v="30"/>
        <m/>
      </sharedItems>
    </cacheField>
    <cacheField name="Avancement" numFmtId="0">
      <sharedItems containsString="0" containsBlank="1" containsNumber="1" containsInteger="1" minValue="0" maxValue="1" count="3">
        <n v="0"/>
        <n v="1"/>
        <m/>
      </sharedItems>
    </cacheField>
    <cacheField name="Qui" numFmtId="0">
      <sharedItems containsBlank="1" count="3">
        <s v="RAKOTO"/>
        <s v="RASOA"/>
        <m/>
      </sharedItems>
    </cacheField>
    <cacheField name="Statu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1"/>
    <x v="1"/>
    <x v="1"/>
    <x v="0"/>
    <x v="2"/>
    <x v="2"/>
    <x v="0"/>
    <x v="1"/>
    <x v="0"/>
    <x v="0"/>
  </r>
  <r>
    <x v="1"/>
    <x v="1"/>
    <x v="2"/>
    <x v="0"/>
    <x v="2"/>
    <x v="1"/>
    <x v="0"/>
    <x v="1"/>
    <x v="0"/>
    <x v="0"/>
  </r>
  <r>
    <x v="1"/>
    <x v="0"/>
    <x v="0"/>
    <x v="3"/>
    <x v="1"/>
    <x v="0"/>
    <x v="0"/>
    <x v="1"/>
    <x v="1"/>
    <x v="0"/>
  </r>
  <r>
    <x v="1"/>
    <x v="1"/>
    <x v="5"/>
    <x v="1"/>
    <x v="0"/>
    <x v="4"/>
    <x v="1"/>
    <x v="0"/>
    <x v="1"/>
    <x v="0"/>
  </r>
  <r>
    <x v="1"/>
    <x v="1"/>
    <x v="3"/>
    <x v="1"/>
    <x v="0"/>
    <x v="4"/>
    <x v="1"/>
    <x v="0"/>
    <x v="1"/>
    <x v="0"/>
  </r>
  <r>
    <x v="1"/>
    <x v="2"/>
    <x v="4"/>
    <x v="2"/>
    <x v="2"/>
    <x v="4"/>
    <x v="2"/>
    <x v="0"/>
    <x v="0"/>
    <x v="0"/>
  </r>
  <r>
    <x v="0"/>
    <x v="3"/>
    <x v="6"/>
    <x v="4"/>
    <x v="3"/>
    <x v="3"/>
    <x v="0"/>
    <x v="1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.5"/>
  </cols>
  <sheetData>
    <row r="3" customFormat="false" ht="15.75" hidden="false" customHeight="false" outlineLevel="0" collapsed="false">
      <c r="A3" s="1" t="s">
        <v>0</v>
      </c>
      <c r="B3" s="2" t="s">
        <v>1</v>
      </c>
    </row>
    <row r="4" customFormat="false" ht="15.75" hidden="false" customHeight="false" outlineLevel="0" collapsed="false">
      <c r="A4" s="3" t="s">
        <v>2</v>
      </c>
      <c r="B4" s="4" t="n">
        <v>270</v>
      </c>
    </row>
    <row r="5" customFormat="false" ht="15.75" hidden="false" customHeight="false" outlineLevel="0" collapsed="false">
      <c r="A5" s="5" t="s">
        <v>3</v>
      </c>
      <c r="B5" s="6" t="n">
        <v>35</v>
      </c>
    </row>
    <row r="6" customFormat="false" ht="15.75" hidden="false" customHeight="false" outlineLevel="0" collapsed="false">
      <c r="A6" s="7" t="s">
        <v>4</v>
      </c>
      <c r="B6" s="8" t="n">
        <v>305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1" activeCellId="0" sqref="K1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28.07"/>
    <col collapsed="false" customWidth="true" hidden="false" outlineLevel="0" max="3" min="3" style="0" width="35.62"/>
    <col collapsed="false" customWidth="true" hidden="false" outlineLevel="0" max="4" min="4" style="0" width="15.16"/>
    <col collapsed="false" customWidth="true" hidden="false" outlineLevel="0" max="8" min="6" style="0" width="12"/>
    <col collapsed="false" customWidth="true" hidden="false" outlineLevel="0" max="9" min="9" style="0" width="6.34"/>
  </cols>
  <sheetData>
    <row r="1" customFormat="false" ht="15.75" hidden="false" customHeight="false" outlineLevel="0" collapsed="false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0" t="s">
        <v>0</v>
      </c>
      <c r="J1" s="9" t="s">
        <v>13</v>
      </c>
    </row>
    <row r="2" customFormat="false" ht="15.7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15</v>
      </c>
      <c r="G2" s="0" t="n">
        <f aca="false">E2-F2</f>
        <v>15</v>
      </c>
      <c r="H2" s="10" t="n">
        <f aca="false">(F2/(F2+G2))</f>
        <v>0</v>
      </c>
      <c r="I2" s="0" t="s">
        <v>18</v>
      </c>
    </row>
    <row r="3" customFormat="false" ht="15.75" hidden="false" customHeight="false" outlineLevel="0" collapsed="false">
      <c r="A3" s="0" t="s">
        <v>14</v>
      </c>
      <c r="B3" s="0" t="s">
        <v>19</v>
      </c>
      <c r="C3" s="0" t="s">
        <v>20</v>
      </c>
      <c r="D3" s="0" t="s">
        <v>21</v>
      </c>
      <c r="E3" s="0" t="n">
        <v>10</v>
      </c>
      <c r="G3" s="0" t="n">
        <f aca="false">E3-F3</f>
        <v>10</v>
      </c>
      <c r="H3" s="10" t="n">
        <f aca="false">(F3/(F3+G3))</f>
        <v>0</v>
      </c>
      <c r="I3" s="0" t="s">
        <v>18</v>
      </c>
    </row>
    <row r="4" customFormat="false" ht="15.75" hidden="false" customHeight="false" outlineLevel="0" collapsed="false">
      <c r="A4" s="0" t="s">
        <v>14</v>
      </c>
      <c r="B4" s="0" t="s">
        <v>22</v>
      </c>
      <c r="C4" s="0" t="s">
        <v>23</v>
      </c>
      <c r="D4" s="0" t="s">
        <v>24</v>
      </c>
      <c r="E4" s="0" t="n">
        <v>30</v>
      </c>
      <c r="G4" s="0" t="n">
        <f aca="false">E4-F4</f>
        <v>30</v>
      </c>
      <c r="H4" s="10" t="n">
        <f aca="false">(F4/(F4+G4))</f>
        <v>0</v>
      </c>
      <c r="I4" s="0" t="s">
        <v>2</v>
      </c>
    </row>
    <row r="5" customFormat="false" ht="15.75" hidden="false" customHeight="false" outlineLevel="0" collapsed="false">
      <c r="A5" s="0" t="s">
        <v>14</v>
      </c>
      <c r="B5" s="0" t="s">
        <v>25</v>
      </c>
      <c r="C5" s="0" t="s">
        <v>26</v>
      </c>
      <c r="D5" s="0" t="s">
        <v>24</v>
      </c>
      <c r="E5" s="0" t="n">
        <v>25</v>
      </c>
      <c r="G5" s="0" t="n">
        <f aca="false">E5-F5</f>
        <v>25</v>
      </c>
      <c r="H5" s="10" t="n">
        <f aca="false">(F5/(F5+G5))</f>
        <v>0</v>
      </c>
      <c r="I5" s="0" t="s">
        <v>3</v>
      </c>
    </row>
    <row r="6" customFormat="false" ht="15.75" hidden="false" customHeight="false" outlineLevel="0" collapsed="false">
      <c r="A6" s="0" t="s">
        <v>14</v>
      </c>
      <c r="B6" s="0" t="s">
        <v>27</v>
      </c>
      <c r="C6" s="0" t="s">
        <v>28</v>
      </c>
      <c r="D6" s="0" t="s">
        <v>21</v>
      </c>
      <c r="E6" s="0" t="n">
        <v>20</v>
      </c>
      <c r="G6" s="0" t="n">
        <f aca="false">E6-F6</f>
        <v>20</v>
      </c>
      <c r="H6" s="10" t="n">
        <f aca="false">(F6/(F6+G6))</f>
        <v>0</v>
      </c>
      <c r="I6" s="0" t="s">
        <v>18</v>
      </c>
    </row>
    <row r="7" customFormat="false" ht="15.75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32</v>
      </c>
      <c r="E7" s="0" t="n">
        <v>30</v>
      </c>
      <c r="G7" s="0" t="n">
        <f aca="false">E7-F7</f>
        <v>30</v>
      </c>
      <c r="H7" s="10" t="n">
        <f aca="false">(F7/(F7+G7))</f>
        <v>0</v>
      </c>
      <c r="I7" s="0" t="s">
        <v>18</v>
      </c>
    </row>
    <row r="8" customFormat="false" ht="15.75" hidden="false" customHeight="false" outlineLevel="0" collapsed="false">
      <c r="A8" s="0" t="s">
        <v>29</v>
      </c>
      <c r="B8" s="0" t="s">
        <v>33</v>
      </c>
      <c r="C8" s="0" t="s">
        <v>34</v>
      </c>
      <c r="D8" s="0" t="s">
        <v>32</v>
      </c>
      <c r="E8" s="0" t="n">
        <v>20</v>
      </c>
      <c r="G8" s="0" t="n">
        <f aca="false">E8-F8</f>
        <v>20</v>
      </c>
      <c r="H8" s="10" t="n">
        <f aca="false">(F8/(F8+G8))</f>
        <v>0</v>
      </c>
      <c r="I8" s="0" t="s">
        <v>18</v>
      </c>
    </row>
    <row r="9" customFormat="false" ht="15.75" hidden="false" customHeight="false" outlineLevel="0" collapsed="false">
      <c r="A9" s="0" t="s">
        <v>29</v>
      </c>
      <c r="B9" s="0" t="s">
        <v>35</v>
      </c>
      <c r="C9" s="0" t="s">
        <v>36</v>
      </c>
      <c r="D9" s="0" t="s">
        <v>37</v>
      </c>
      <c r="E9" s="0" t="n">
        <v>20</v>
      </c>
      <c r="G9" s="0" t="n">
        <f aca="false">E9-F9</f>
        <v>20</v>
      </c>
      <c r="H9" s="10" t="n">
        <f aca="false">(F9/(F9+G9))</f>
        <v>0</v>
      </c>
      <c r="I9" s="0" t="s">
        <v>18</v>
      </c>
    </row>
    <row r="10" customFormat="false" ht="15.75" hidden="false" customHeight="false" outlineLevel="0" collapsed="false">
      <c r="A10" s="0" t="s">
        <v>29</v>
      </c>
      <c r="B10" s="0" t="s">
        <v>38</v>
      </c>
      <c r="C10" s="0" t="s">
        <v>39</v>
      </c>
      <c r="D10" s="0" t="s">
        <v>40</v>
      </c>
      <c r="E10" s="0" t="n">
        <v>30</v>
      </c>
      <c r="G10" s="0" t="n">
        <f aca="false">E10-F10</f>
        <v>30</v>
      </c>
      <c r="H10" s="10" t="n">
        <f aca="false">(F10/(F10+G10))</f>
        <v>0</v>
      </c>
      <c r="I10" s="0" t="s">
        <v>18</v>
      </c>
    </row>
    <row r="11" customFormat="false" ht="15.75" hidden="false" customHeight="false" outlineLevel="0" collapsed="false">
      <c r="A11" s="0" t="s">
        <v>29</v>
      </c>
      <c r="B11" s="0" t="s">
        <v>41</v>
      </c>
      <c r="C11" s="0" t="s">
        <v>42</v>
      </c>
      <c r="D11" s="0" t="s">
        <v>43</v>
      </c>
      <c r="E11" s="0" t="n">
        <v>25</v>
      </c>
      <c r="G11" s="0" t="n">
        <f aca="false">E11-F11</f>
        <v>25</v>
      </c>
      <c r="H11" s="10" t="n">
        <f aca="false">(F11/(F11+G11))</f>
        <v>0</v>
      </c>
      <c r="I11" s="0" t="s">
        <v>18</v>
      </c>
    </row>
    <row r="12" customFormat="false" ht="15.75" hidden="false" customHeight="false" outlineLevel="0" collapsed="false">
      <c r="A12" s="0" t="s">
        <v>29</v>
      </c>
      <c r="B12" s="0" t="s">
        <v>44</v>
      </c>
      <c r="C12" s="0" t="s">
        <v>45</v>
      </c>
      <c r="D12" s="0" t="s">
        <v>46</v>
      </c>
      <c r="E12" s="0" t="n">
        <v>15</v>
      </c>
      <c r="G12" s="0" t="n">
        <f aca="false">E12-F12</f>
        <v>15</v>
      </c>
      <c r="H12" s="10" t="n">
        <f aca="false">(F12/(F12+G12))</f>
        <v>0</v>
      </c>
      <c r="I12" s="0" t="s">
        <v>18</v>
      </c>
    </row>
    <row r="13" customFormat="false" ht="15.75" hidden="false" customHeight="false" outlineLevel="0" collapsed="false">
      <c r="A13" s="0" t="s">
        <v>29</v>
      </c>
      <c r="B13" s="0" t="s">
        <v>47</v>
      </c>
      <c r="C13" s="0" t="s">
        <v>48</v>
      </c>
      <c r="D13" s="0" t="s">
        <v>32</v>
      </c>
      <c r="E13" s="0" t="n">
        <v>30</v>
      </c>
      <c r="G13" s="0" t="n">
        <f aca="false">E13-F13</f>
        <v>30</v>
      </c>
      <c r="H13" s="10" t="n">
        <f aca="false">(F13/(F13+G13))</f>
        <v>0</v>
      </c>
      <c r="I13" s="0" t="s">
        <v>2</v>
      </c>
    </row>
    <row r="14" customFormat="false" ht="15.75" hidden="false" customHeight="false" outlineLevel="0" collapsed="false">
      <c r="A14" s="0" t="s">
        <v>29</v>
      </c>
      <c r="B14" s="0" t="s">
        <v>49</v>
      </c>
      <c r="C14" s="0" t="s">
        <v>50</v>
      </c>
      <c r="D14" s="0" t="s">
        <v>32</v>
      </c>
      <c r="E14" s="0" t="n">
        <v>20</v>
      </c>
      <c r="G14" s="0" t="n">
        <f aca="false">E14-F14</f>
        <v>20</v>
      </c>
      <c r="H14" s="10" t="n">
        <f aca="false">(F14/(F14+G14))</f>
        <v>0</v>
      </c>
      <c r="I14" s="0" t="s">
        <v>2</v>
      </c>
    </row>
    <row r="15" customFormat="false" ht="15.75" hidden="false" customHeight="false" outlineLevel="0" collapsed="false">
      <c r="A15" s="0" t="s">
        <v>29</v>
      </c>
      <c r="B15" s="0" t="s">
        <v>51</v>
      </c>
      <c r="C15" s="0" t="s">
        <v>52</v>
      </c>
      <c r="D15" s="0" t="s">
        <v>40</v>
      </c>
      <c r="E15" s="0" t="n">
        <v>30</v>
      </c>
      <c r="G15" s="0" t="n">
        <f aca="false">E15-F15</f>
        <v>30</v>
      </c>
      <c r="H15" s="10" t="n">
        <f aca="false">(F15/(F15+G15))</f>
        <v>0</v>
      </c>
      <c r="I15" s="0" t="s">
        <v>2</v>
      </c>
    </row>
    <row r="16" customFormat="false" ht="15.75" hidden="false" customHeight="false" outlineLevel="0" collapsed="false">
      <c r="A16" s="0" t="s">
        <v>29</v>
      </c>
      <c r="B16" s="0" t="s">
        <v>53</v>
      </c>
      <c r="C16" s="0" t="s">
        <v>54</v>
      </c>
      <c r="D16" s="0" t="s">
        <v>43</v>
      </c>
      <c r="E16" s="0" t="n">
        <v>25</v>
      </c>
      <c r="G16" s="0" t="n">
        <f aca="false">E16-F16</f>
        <v>25</v>
      </c>
      <c r="H16" s="10" t="n">
        <f aca="false">(F16/(F16+G16))</f>
        <v>0</v>
      </c>
      <c r="I16" s="0" t="s">
        <v>2</v>
      </c>
    </row>
    <row r="17" customFormat="false" ht="15.75" hidden="false" customHeight="false" outlineLevel="0" collapsed="false">
      <c r="A17" s="0" t="s">
        <v>29</v>
      </c>
      <c r="B17" s="0" t="s">
        <v>55</v>
      </c>
      <c r="C17" s="0" t="s">
        <v>56</v>
      </c>
      <c r="D17" s="0" t="s">
        <v>32</v>
      </c>
      <c r="E17" s="0" t="n">
        <v>20</v>
      </c>
      <c r="G17" s="0" t="n">
        <f aca="false">E17-F17</f>
        <v>20</v>
      </c>
      <c r="H17" s="10" t="n">
        <f aca="false">(F17/(F17+G17))</f>
        <v>0</v>
      </c>
      <c r="I17" s="0" t="s">
        <v>3</v>
      </c>
    </row>
    <row r="18" customFormat="false" ht="15.75" hidden="false" customHeight="false" outlineLevel="0" collapsed="false">
      <c r="A18" s="0" t="s">
        <v>29</v>
      </c>
      <c r="B18" s="0" t="s">
        <v>57</v>
      </c>
      <c r="C18" s="0" t="s">
        <v>58</v>
      </c>
      <c r="D18" s="0" t="s">
        <v>32</v>
      </c>
      <c r="E18" s="0" t="n">
        <v>15</v>
      </c>
      <c r="G18" s="0" t="n">
        <f aca="false">E18-F18</f>
        <v>15</v>
      </c>
      <c r="H18" s="10" t="n">
        <f aca="false">(F18/(F18+G18))</f>
        <v>0</v>
      </c>
      <c r="I18" s="0" t="s">
        <v>3</v>
      </c>
    </row>
    <row r="19" customFormat="false" ht="15.75" hidden="false" customHeight="false" outlineLevel="0" collapsed="false">
      <c r="A19" s="0" t="s">
        <v>29</v>
      </c>
      <c r="B19" s="0" t="s">
        <v>59</v>
      </c>
      <c r="C19" s="0" t="s">
        <v>60</v>
      </c>
      <c r="D19" s="0" t="s">
        <v>37</v>
      </c>
      <c r="E19" s="0" t="n">
        <v>15</v>
      </c>
      <c r="G19" s="0" t="n">
        <f aca="false">E19-F19</f>
        <v>15</v>
      </c>
      <c r="H19" s="10" t="n">
        <f aca="false">(F19/(F19+G19))</f>
        <v>0</v>
      </c>
      <c r="I19" s="0" t="s">
        <v>3</v>
      </c>
    </row>
    <row r="20" customFormat="false" ht="15.75" hidden="false" customHeight="false" outlineLevel="0" collapsed="false">
      <c r="A20" s="0" t="s">
        <v>29</v>
      </c>
      <c r="B20" s="0" t="s">
        <v>61</v>
      </c>
      <c r="C20" s="0" t="s">
        <v>62</v>
      </c>
      <c r="D20" s="0" t="s">
        <v>40</v>
      </c>
      <c r="E20" s="0" t="n">
        <v>25</v>
      </c>
      <c r="G20" s="0" t="n">
        <f aca="false">E20-F20</f>
        <v>25</v>
      </c>
      <c r="H20" s="10" t="n">
        <f aca="false">(F20/(F20+G20))</f>
        <v>0</v>
      </c>
      <c r="I20" s="0" t="s">
        <v>3</v>
      </c>
    </row>
    <row r="21" customFormat="false" ht="15.75" hidden="false" customHeight="false" outlineLevel="0" collapsed="false">
      <c r="A21" s="0" t="s">
        <v>29</v>
      </c>
      <c r="B21" s="0" t="s">
        <v>63</v>
      </c>
      <c r="C21" s="0" t="s">
        <v>64</v>
      </c>
      <c r="D21" s="0" t="s">
        <v>46</v>
      </c>
      <c r="E21" s="0" t="n">
        <v>15</v>
      </c>
      <c r="G21" s="0" t="n">
        <f aca="false">E21-F21</f>
        <v>15</v>
      </c>
      <c r="H21" s="10" t="n">
        <f aca="false">(F21/(F21+G21))</f>
        <v>0</v>
      </c>
      <c r="I21" s="0" t="s">
        <v>3</v>
      </c>
    </row>
    <row r="22" customFormat="false" ht="15.75" hidden="false" customHeight="false" outlineLevel="0" collapsed="false">
      <c r="A22" s="0" t="s">
        <v>65</v>
      </c>
      <c r="B22" s="0" t="s">
        <v>66</v>
      </c>
      <c r="C22" s="0" t="s">
        <v>67</v>
      </c>
      <c r="D22" s="0" t="s">
        <v>32</v>
      </c>
      <c r="E22" s="0" t="n">
        <v>30</v>
      </c>
      <c r="G22" s="0" t="n">
        <f aca="false">E22-F22</f>
        <v>30</v>
      </c>
      <c r="H22" s="10" t="n">
        <f aca="false">(F22/(F22+G22))</f>
        <v>0</v>
      </c>
      <c r="I22" s="0" t="s">
        <v>18</v>
      </c>
    </row>
    <row r="23" customFormat="false" ht="15.75" hidden="false" customHeight="false" outlineLevel="0" collapsed="false">
      <c r="A23" s="0" t="s">
        <v>65</v>
      </c>
      <c r="B23" s="0" t="s">
        <v>68</v>
      </c>
      <c r="C23" s="0" t="s">
        <v>69</v>
      </c>
      <c r="D23" s="0" t="s">
        <v>32</v>
      </c>
      <c r="E23" s="0" t="n">
        <v>20</v>
      </c>
      <c r="G23" s="0" t="n">
        <f aca="false">E23-F23</f>
        <v>20</v>
      </c>
      <c r="H23" s="10" t="n">
        <f aca="false">(F23/(F23+G23))</f>
        <v>0</v>
      </c>
      <c r="I23" s="0" t="s">
        <v>18</v>
      </c>
    </row>
    <row r="24" customFormat="false" ht="15.75" hidden="false" customHeight="false" outlineLevel="0" collapsed="false">
      <c r="A24" s="0" t="s">
        <v>65</v>
      </c>
      <c r="B24" s="0" t="s">
        <v>70</v>
      </c>
      <c r="C24" s="0" t="s">
        <v>71</v>
      </c>
      <c r="D24" s="0" t="s">
        <v>40</v>
      </c>
      <c r="E24" s="0" t="n">
        <v>30</v>
      </c>
      <c r="G24" s="0" t="n">
        <f aca="false">E24-F24</f>
        <v>30</v>
      </c>
      <c r="H24" s="10" t="n">
        <f aca="false">(F24/(F24+G24))</f>
        <v>0</v>
      </c>
      <c r="I24" s="0" t="s">
        <v>18</v>
      </c>
    </row>
    <row r="25" customFormat="false" ht="15.75" hidden="false" customHeight="false" outlineLevel="0" collapsed="false">
      <c r="A25" s="0" t="s">
        <v>65</v>
      </c>
      <c r="B25" s="0" t="s">
        <v>72</v>
      </c>
      <c r="C25" s="0" t="s">
        <v>73</v>
      </c>
      <c r="D25" s="0" t="s">
        <v>40</v>
      </c>
      <c r="E25" s="0" t="n">
        <v>20</v>
      </c>
      <c r="G25" s="0" t="n">
        <f aca="false">E25-F25</f>
        <v>20</v>
      </c>
      <c r="H25" s="10" t="n">
        <f aca="false">(F25/(F25+G25))</f>
        <v>0</v>
      </c>
      <c r="I25" s="0" t="s">
        <v>18</v>
      </c>
    </row>
    <row r="26" customFormat="false" ht="15.75" hidden="false" customHeight="false" outlineLevel="0" collapsed="false">
      <c r="A26" s="0" t="s">
        <v>65</v>
      </c>
      <c r="B26" s="0" t="s">
        <v>74</v>
      </c>
      <c r="C26" s="0" t="s">
        <v>75</v>
      </c>
      <c r="D26" s="0" t="s">
        <v>46</v>
      </c>
      <c r="E26" s="0" t="n">
        <v>15</v>
      </c>
      <c r="G26" s="0" t="n">
        <f aca="false">E26-F26</f>
        <v>15</v>
      </c>
      <c r="H26" s="10" t="n">
        <f aca="false">(F26/(F26+G26))</f>
        <v>0</v>
      </c>
      <c r="I26" s="0" t="s">
        <v>18</v>
      </c>
    </row>
    <row r="27" customFormat="false" ht="15.75" hidden="false" customHeight="false" outlineLevel="0" collapsed="false">
      <c r="A27" s="0" t="s">
        <v>65</v>
      </c>
      <c r="B27" s="0" t="s">
        <v>76</v>
      </c>
      <c r="C27" s="0" t="s">
        <v>77</v>
      </c>
      <c r="D27" s="0" t="s">
        <v>32</v>
      </c>
      <c r="E27" s="0" t="n">
        <v>20</v>
      </c>
      <c r="G27" s="0" t="n">
        <f aca="false">E27-F27</f>
        <v>20</v>
      </c>
      <c r="H27" s="10" t="n">
        <f aca="false">(F27/(F27+G27))</f>
        <v>0</v>
      </c>
      <c r="I27" s="0" t="s">
        <v>2</v>
      </c>
    </row>
    <row r="28" customFormat="false" ht="15.75" hidden="false" customHeight="false" outlineLevel="0" collapsed="false">
      <c r="A28" s="0" t="s">
        <v>65</v>
      </c>
      <c r="B28" s="0" t="s">
        <v>78</v>
      </c>
      <c r="C28" s="0" t="s">
        <v>79</v>
      </c>
      <c r="D28" s="0" t="s">
        <v>40</v>
      </c>
      <c r="E28" s="0" t="n">
        <v>25</v>
      </c>
      <c r="G28" s="0" t="n">
        <f aca="false">E28-F28</f>
        <v>25</v>
      </c>
      <c r="H28" s="10" t="n">
        <f aca="false">(F28/(F28+G28))</f>
        <v>0</v>
      </c>
      <c r="I28" s="0" t="s">
        <v>2</v>
      </c>
    </row>
    <row r="29" customFormat="false" ht="15.75" hidden="false" customHeight="false" outlineLevel="0" collapsed="false">
      <c r="A29" s="0" t="s">
        <v>65</v>
      </c>
      <c r="B29" s="0" t="s">
        <v>80</v>
      </c>
      <c r="C29" s="0" t="s">
        <v>81</v>
      </c>
      <c r="D29" s="0" t="s">
        <v>82</v>
      </c>
      <c r="E29" s="0" t="n">
        <v>20</v>
      </c>
      <c r="G29" s="0" t="n">
        <f aca="false">E29-F29</f>
        <v>20</v>
      </c>
      <c r="H29" s="10" t="n">
        <f aca="false">(F29/(F29+G29))</f>
        <v>0</v>
      </c>
      <c r="I29" s="0" t="s">
        <v>2</v>
      </c>
    </row>
    <row r="30" customFormat="false" ht="15.75" hidden="false" customHeight="false" outlineLevel="0" collapsed="false">
      <c r="A30" s="0" t="s">
        <v>65</v>
      </c>
      <c r="B30" s="0" t="s">
        <v>83</v>
      </c>
      <c r="C30" s="0" t="s">
        <v>84</v>
      </c>
      <c r="D30" s="0" t="s">
        <v>43</v>
      </c>
      <c r="E30" s="0" t="n">
        <v>25</v>
      </c>
      <c r="G30" s="0" t="n">
        <f aca="false">E30-F30</f>
        <v>25</v>
      </c>
      <c r="H30" s="10" t="n">
        <f aca="false">(F30/(F30+G30))</f>
        <v>0</v>
      </c>
      <c r="I30" s="0" t="s">
        <v>2</v>
      </c>
    </row>
    <row r="31" customFormat="false" ht="15.75" hidden="false" customHeight="false" outlineLevel="0" collapsed="false">
      <c r="A31" s="0" t="s">
        <v>65</v>
      </c>
      <c r="B31" s="0" t="s">
        <v>85</v>
      </c>
      <c r="C31" s="0" t="s">
        <v>86</v>
      </c>
      <c r="D31" s="0" t="s">
        <v>43</v>
      </c>
      <c r="E31" s="0" t="n">
        <v>20</v>
      </c>
      <c r="G31" s="0" t="n">
        <f aca="false">E31-F31</f>
        <v>20</v>
      </c>
      <c r="H31" s="10" t="n">
        <f aca="false">(F31/(F31+G31))</f>
        <v>0</v>
      </c>
      <c r="I31" s="0" t="s">
        <v>2</v>
      </c>
    </row>
    <row r="32" customFormat="false" ht="15.75" hidden="false" customHeight="false" outlineLevel="0" collapsed="false">
      <c r="A32" s="0" t="s">
        <v>65</v>
      </c>
      <c r="B32" s="0" t="s">
        <v>87</v>
      </c>
      <c r="C32" s="0" t="s">
        <v>88</v>
      </c>
      <c r="D32" s="0" t="s">
        <v>32</v>
      </c>
      <c r="E32" s="0" t="n">
        <v>35</v>
      </c>
      <c r="G32" s="0" t="n">
        <f aca="false">E32-F32</f>
        <v>35</v>
      </c>
      <c r="H32" s="10" t="n">
        <f aca="false">(F32/(F32+G32))</f>
        <v>0</v>
      </c>
      <c r="I32" s="0" t="s">
        <v>3</v>
      </c>
    </row>
    <row r="33" customFormat="false" ht="15.75" hidden="false" customHeight="false" outlineLevel="0" collapsed="false">
      <c r="A33" s="0" t="s">
        <v>65</v>
      </c>
      <c r="B33" s="0" t="s">
        <v>89</v>
      </c>
      <c r="C33" s="0" t="s">
        <v>90</v>
      </c>
      <c r="D33" s="0" t="s">
        <v>32</v>
      </c>
      <c r="E33" s="0" t="n">
        <v>30</v>
      </c>
      <c r="G33" s="0" t="n">
        <f aca="false">E33-F33</f>
        <v>30</v>
      </c>
      <c r="H33" s="10" t="n">
        <f aca="false">(F33/(F33+G33))</f>
        <v>0</v>
      </c>
      <c r="I33" s="0" t="s">
        <v>3</v>
      </c>
    </row>
    <row r="34" customFormat="false" ht="15.75" hidden="false" customHeight="false" outlineLevel="0" collapsed="false">
      <c r="A34" s="0" t="s">
        <v>65</v>
      </c>
      <c r="B34" s="0" t="s">
        <v>91</v>
      </c>
      <c r="C34" s="0" t="s">
        <v>92</v>
      </c>
      <c r="D34" s="0" t="s">
        <v>40</v>
      </c>
      <c r="E34" s="0" t="n">
        <v>35</v>
      </c>
      <c r="G34" s="0" t="n">
        <f aca="false">E34-F34</f>
        <v>35</v>
      </c>
      <c r="H34" s="10" t="n">
        <f aca="false">(F34/(F34+G34))</f>
        <v>0</v>
      </c>
      <c r="I34" s="0" t="s">
        <v>3</v>
      </c>
    </row>
    <row r="35" customFormat="false" ht="15.75" hidden="false" customHeight="false" outlineLevel="0" collapsed="false">
      <c r="A35" s="0" t="s">
        <v>65</v>
      </c>
      <c r="B35" s="0" t="s">
        <v>93</v>
      </c>
      <c r="C35" s="0" t="s">
        <v>94</v>
      </c>
      <c r="D35" s="0" t="s">
        <v>46</v>
      </c>
      <c r="E35" s="0" t="n">
        <v>15</v>
      </c>
      <c r="G35" s="0" t="n">
        <f aca="false">E35-F35</f>
        <v>15</v>
      </c>
      <c r="H35" s="10" t="n">
        <f aca="false">(F35/(F35+G35))</f>
        <v>0</v>
      </c>
      <c r="I35" s="0" t="s">
        <v>3</v>
      </c>
    </row>
    <row r="36" customFormat="false" ht="15.75" hidden="false" customHeight="false" outlineLevel="0" collapsed="false">
      <c r="A36" s="0" t="s">
        <v>95</v>
      </c>
      <c r="B36" s="0" t="s">
        <v>96</v>
      </c>
      <c r="C36" s="0" t="s">
        <v>97</v>
      </c>
      <c r="D36" s="0" t="s">
        <v>32</v>
      </c>
      <c r="E36" s="0" t="n">
        <v>30</v>
      </c>
      <c r="G36" s="0" t="n">
        <f aca="false">E36-F36</f>
        <v>30</v>
      </c>
      <c r="H36" s="10" t="n">
        <f aca="false">(F36/(F36+G36))</f>
        <v>0</v>
      </c>
      <c r="I36" s="0" t="s">
        <v>18</v>
      </c>
    </row>
    <row r="37" customFormat="false" ht="15.75" hidden="false" customHeight="false" outlineLevel="0" collapsed="false">
      <c r="A37" s="0" t="s">
        <v>95</v>
      </c>
      <c r="B37" s="0" t="s">
        <v>98</v>
      </c>
      <c r="C37" s="0" t="s">
        <v>99</v>
      </c>
      <c r="D37" s="0" t="s">
        <v>32</v>
      </c>
      <c r="E37" s="0" t="n">
        <v>15</v>
      </c>
      <c r="G37" s="0" t="n">
        <f aca="false">E37-F37</f>
        <v>15</v>
      </c>
      <c r="H37" s="10" t="n">
        <f aca="false">(F37/(F37+G37))</f>
        <v>0</v>
      </c>
      <c r="I37" s="0" t="s">
        <v>18</v>
      </c>
    </row>
    <row r="38" customFormat="false" ht="15.75" hidden="false" customHeight="false" outlineLevel="0" collapsed="false">
      <c r="A38" s="0" t="s">
        <v>95</v>
      </c>
      <c r="B38" s="0" t="s">
        <v>100</v>
      </c>
      <c r="C38" s="0" t="s">
        <v>101</v>
      </c>
      <c r="D38" s="0" t="s">
        <v>82</v>
      </c>
      <c r="E38" s="0" t="n">
        <v>35</v>
      </c>
      <c r="G38" s="0" t="n">
        <f aca="false">E38-F38</f>
        <v>35</v>
      </c>
      <c r="H38" s="10" t="n">
        <f aca="false">(F38/(F38+G38))</f>
        <v>0</v>
      </c>
      <c r="I38" s="0" t="s">
        <v>18</v>
      </c>
    </row>
    <row r="39" customFormat="false" ht="15.75" hidden="false" customHeight="false" outlineLevel="0" collapsed="false">
      <c r="A39" s="0" t="s">
        <v>95</v>
      </c>
      <c r="B39" s="0" t="s">
        <v>102</v>
      </c>
      <c r="C39" s="0" t="s">
        <v>103</v>
      </c>
      <c r="D39" s="0" t="s">
        <v>40</v>
      </c>
      <c r="E39" s="0" t="n">
        <v>30</v>
      </c>
      <c r="G39" s="0" t="n">
        <f aca="false">E39-F39</f>
        <v>30</v>
      </c>
      <c r="H39" s="10" t="n">
        <f aca="false">(F39/(F39+G39))</f>
        <v>0</v>
      </c>
      <c r="I39" s="0" t="s">
        <v>18</v>
      </c>
    </row>
    <row r="40" customFormat="false" ht="15.75" hidden="false" customHeight="false" outlineLevel="0" collapsed="false">
      <c r="A40" s="0" t="s">
        <v>95</v>
      </c>
      <c r="B40" s="0" t="s">
        <v>104</v>
      </c>
      <c r="C40" s="0" t="s">
        <v>105</v>
      </c>
      <c r="D40" s="0" t="s">
        <v>46</v>
      </c>
      <c r="E40" s="0" t="n">
        <v>15</v>
      </c>
      <c r="G40" s="0" t="n">
        <f aca="false">E40-F40</f>
        <v>15</v>
      </c>
      <c r="H40" s="10" t="n">
        <f aca="false">(F40/(F40+G40))</f>
        <v>0</v>
      </c>
      <c r="I40" s="0" t="s">
        <v>18</v>
      </c>
    </row>
    <row r="41" customFormat="false" ht="15.75" hidden="false" customHeight="false" outlineLevel="0" collapsed="false">
      <c r="A41" s="0" t="s">
        <v>95</v>
      </c>
      <c r="B41" s="0" t="s">
        <v>106</v>
      </c>
      <c r="C41" s="0" t="s">
        <v>107</v>
      </c>
      <c r="D41" s="0" t="s">
        <v>32</v>
      </c>
      <c r="E41" s="0" t="n">
        <v>20</v>
      </c>
      <c r="G41" s="0" t="n">
        <f aca="false">E41-F41</f>
        <v>20</v>
      </c>
      <c r="H41" s="10" t="n">
        <f aca="false">(F41/(F41+G41))</f>
        <v>0</v>
      </c>
      <c r="I41" s="0" t="s">
        <v>2</v>
      </c>
    </row>
    <row r="42" customFormat="false" ht="15.75" hidden="false" customHeight="false" outlineLevel="0" collapsed="false">
      <c r="A42" s="0" t="s">
        <v>95</v>
      </c>
      <c r="B42" s="0" t="s">
        <v>108</v>
      </c>
      <c r="C42" s="0" t="s">
        <v>109</v>
      </c>
      <c r="D42" s="0" t="s">
        <v>40</v>
      </c>
      <c r="E42" s="0" t="n">
        <v>30</v>
      </c>
      <c r="G42" s="0" t="n">
        <f aca="false">E42-F42</f>
        <v>30</v>
      </c>
      <c r="H42" s="10" t="n">
        <f aca="false">(F42/(F42+G42))</f>
        <v>0</v>
      </c>
      <c r="I42" s="0" t="s">
        <v>2</v>
      </c>
    </row>
    <row r="43" customFormat="false" ht="15.75" hidden="false" customHeight="false" outlineLevel="0" collapsed="false">
      <c r="A43" s="0" t="s">
        <v>95</v>
      </c>
      <c r="B43" s="0" t="s">
        <v>110</v>
      </c>
      <c r="C43" s="0" t="s">
        <v>111</v>
      </c>
      <c r="D43" s="0" t="s">
        <v>43</v>
      </c>
      <c r="E43" s="0" t="n">
        <v>20</v>
      </c>
      <c r="G43" s="0" t="n">
        <f aca="false">E43-F43</f>
        <v>20</v>
      </c>
      <c r="H43" s="10" t="n">
        <f aca="false">(F43/(F43+G43))</f>
        <v>0</v>
      </c>
      <c r="I43" s="0" t="s">
        <v>2</v>
      </c>
    </row>
    <row r="44" customFormat="false" ht="15.75" hidden="false" customHeight="false" outlineLevel="0" collapsed="false">
      <c r="A44" s="0" t="s">
        <v>95</v>
      </c>
      <c r="B44" s="0" t="s">
        <v>112</v>
      </c>
      <c r="C44" s="0" t="s">
        <v>113</v>
      </c>
      <c r="D44" s="0" t="s">
        <v>46</v>
      </c>
      <c r="E44" s="0" t="n">
        <v>15</v>
      </c>
      <c r="G44" s="0" t="n">
        <f aca="false">E44-F44</f>
        <v>15</v>
      </c>
      <c r="H44" s="10" t="n">
        <f aca="false">(F44/(F44+G44))</f>
        <v>0</v>
      </c>
      <c r="I44" s="0" t="s">
        <v>2</v>
      </c>
    </row>
    <row r="45" customFormat="false" ht="15.75" hidden="false" customHeight="false" outlineLevel="0" collapsed="false">
      <c r="A45" s="0" t="s">
        <v>114</v>
      </c>
      <c r="B45" s="0" t="s">
        <v>115</v>
      </c>
      <c r="C45" s="0" t="s">
        <v>116</v>
      </c>
      <c r="D45" s="0" t="s">
        <v>32</v>
      </c>
      <c r="E45" s="0" t="n">
        <v>35</v>
      </c>
      <c r="G45" s="0" t="n">
        <f aca="false">E45-F45</f>
        <v>35</v>
      </c>
      <c r="H45" s="10" t="n">
        <f aca="false">(F45/(F45+G45))</f>
        <v>0</v>
      </c>
      <c r="I45" s="0" t="s">
        <v>3</v>
      </c>
    </row>
    <row r="46" customFormat="false" ht="15.75" hidden="false" customHeight="false" outlineLevel="0" collapsed="false">
      <c r="A46" s="0" t="s">
        <v>114</v>
      </c>
      <c r="B46" s="0" t="s">
        <v>117</v>
      </c>
      <c r="C46" s="0" t="s">
        <v>118</v>
      </c>
      <c r="D46" s="0" t="s">
        <v>32</v>
      </c>
      <c r="E46" s="0" t="n">
        <v>20</v>
      </c>
      <c r="G46" s="0" t="n">
        <f aca="false">E46-F46</f>
        <v>20</v>
      </c>
      <c r="H46" s="10" t="n">
        <f aca="false">(F46/(F46+G46))</f>
        <v>0</v>
      </c>
      <c r="I46" s="0" t="s">
        <v>3</v>
      </c>
    </row>
    <row r="47" customFormat="false" ht="15.75" hidden="false" customHeight="false" outlineLevel="0" collapsed="false">
      <c r="A47" s="0" t="s">
        <v>114</v>
      </c>
      <c r="B47" s="0" t="s">
        <v>119</v>
      </c>
      <c r="C47" s="0" t="s">
        <v>120</v>
      </c>
      <c r="D47" s="0" t="s">
        <v>40</v>
      </c>
      <c r="E47" s="0" t="n">
        <v>30</v>
      </c>
      <c r="G47" s="0" t="n">
        <f aca="false">E47-F47</f>
        <v>30</v>
      </c>
      <c r="H47" s="10" t="n">
        <f aca="false">(F47/(F47+G47))</f>
        <v>0</v>
      </c>
      <c r="I47" s="0" t="s">
        <v>3</v>
      </c>
    </row>
    <row r="48" customFormat="false" ht="15.75" hidden="false" customHeight="false" outlineLevel="0" collapsed="false">
      <c r="A48" s="0" t="s">
        <v>114</v>
      </c>
      <c r="B48" s="0" t="s">
        <v>121</v>
      </c>
      <c r="C48" s="0" t="s">
        <v>122</v>
      </c>
      <c r="D48" s="0" t="s">
        <v>40</v>
      </c>
      <c r="E48" s="0" t="n">
        <v>25</v>
      </c>
      <c r="G48" s="0" t="n">
        <f aca="false">E48-F48</f>
        <v>25</v>
      </c>
      <c r="H48" s="10" t="n">
        <f aca="false">(F48/(F48+G48))</f>
        <v>0</v>
      </c>
      <c r="I48" s="0" t="s">
        <v>3</v>
      </c>
    </row>
    <row r="49" customFormat="false" ht="15.75" hidden="false" customHeight="false" outlineLevel="0" collapsed="false">
      <c r="A49" s="0" t="s">
        <v>114</v>
      </c>
      <c r="B49" s="0" t="s">
        <v>123</v>
      </c>
      <c r="C49" s="0" t="s">
        <v>124</v>
      </c>
      <c r="D49" s="0" t="s">
        <v>40</v>
      </c>
      <c r="E49" s="0" t="n">
        <v>25</v>
      </c>
      <c r="G49" s="0" t="n">
        <f aca="false">E49-F49</f>
        <v>25</v>
      </c>
      <c r="H49" s="10" t="n">
        <f aca="false">(F49/(F49+G49))</f>
        <v>0</v>
      </c>
      <c r="I49" s="0" t="s">
        <v>3</v>
      </c>
    </row>
    <row r="50" customFormat="false" ht="15.75" hidden="false" customHeight="false" outlineLevel="0" collapsed="false">
      <c r="A50" s="0" t="s">
        <v>114</v>
      </c>
      <c r="B50" s="0" t="s">
        <v>125</v>
      </c>
      <c r="C50" s="0" t="s">
        <v>126</v>
      </c>
      <c r="D50" s="0" t="s">
        <v>46</v>
      </c>
      <c r="E50" s="0" t="n">
        <v>15</v>
      </c>
      <c r="G50" s="0" t="n">
        <f aca="false">E50-F50</f>
        <v>15</v>
      </c>
      <c r="H50" s="10" t="n">
        <f aca="false">(F50/(F50+G50))</f>
        <v>0</v>
      </c>
      <c r="I50" s="0" t="s">
        <v>3</v>
      </c>
    </row>
    <row r="51" customFormat="false" ht="15.75" hidden="false" customHeight="false" outlineLevel="0" collapsed="false">
      <c r="A51" s="0" t="s">
        <v>127</v>
      </c>
      <c r="B51" s="0" t="s">
        <v>128</v>
      </c>
      <c r="C51" s="0" t="s">
        <v>129</v>
      </c>
      <c r="D51" s="0" t="s">
        <v>32</v>
      </c>
      <c r="E51" s="0" t="n">
        <v>30</v>
      </c>
      <c r="G51" s="0" t="n">
        <f aca="false">E51-F51</f>
        <v>30</v>
      </c>
      <c r="H51" s="10" t="n">
        <f aca="false">(F51/(F51+G51))</f>
        <v>0</v>
      </c>
      <c r="I51" s="0" t="s">
        <v>18</v>
      </c>
    </row>
    <row r="52" customFormat="false" ht="15.75" hidden="false" customHeight="false" outlineLevel="0" collapsed="false">
      <c r="A52" s="0" t="s">
        <v>127</v>
      </c>
      <c r="B52" s="0" t="s">
        <v>130</v>
      </c>
      <c r="C52" s="0" t="s">
        <v>131</v>
      </c>
      <c r="D52" s="0" t="s">
        <v>32</v>
      </c>
      <c r="E52" s="0" t="n">
        <v>30</v>
      </c>
      <c r="G52" s="0" t="n">
        <f aca="false">E52-F52</f>
        <v>30</v>
      </c>
      <c r="H52" s="10" t="n">
        <f aca="false">(F52/(F52+G52))</f>
        <v>0</v>
      </c>
      <c r="I52" s="0" t="s">
        <v>18</v>
      </c>
    </row>
    <row r="53" customFormat="false" ht="15.75" hidden="false" customHeight="false" outlineLevel="0" collapsed="false">
      <c r="A53" s="0" t="s">
        <v>127</v>
      </c>
      <c r="B53" s="0" t="s">
        <v>132</v>
      </c>
      <c r="C53" s="0" t="s">
        <v>133</v>
      </c>
      <c r="D53" s="0" t="s">
        <v>40</v>
      </c>
      <c r="E53" s="0" t="n">
        <v>30</v>
      </c>
      <c r="G53" s="0" t="n">
        <f aca="false">E53-F53</f>
        <v>30</v>
      </c>
      <c r="H53" s="10" t="n">
        <f aca="false">(F53/(F53+G53))</f>
        <v>0</v>
      </c>
      <c r="I53" s="0" t="s">
        <v>18</v>
      </c>
    </row>
    <row r="54" customFormat="false" ht="15.75" hidden="false" customHeight="false" outlineLevel="0" collapsed="false">
      <c r="A54" s="0" t="s">
        <v>127</v>
      </c>
      <c r="B54" s="0" t="s">
        <v>134</v>
      </c>
      <c r="C54" s="0" t="s">
        <v>135</v>
      </c>
      <c r="D54" s="0" t="s">
        <v>82</v>
      </c>
      <c r="E54" s="0" t="n">
        <v>20</v>
      </c>
      <c r="G54" s="0" t="n">
        <f aca="false">E54-F54</f>
        <v>20</v>
      </c>
      <c r="H54" s="10" t="n">
        <f aca="false">(F54/(F54+G54))</f>
        <v>0</v>
      </c>
      <c r="I54" s="0" t="s">
        <v>18</v>
      </c>
    </row>
    <row r="55" customFormat="false" ht="15.75" hidden="false" customHeight="false" outlineLevel="0" collapsed="false">
      <c r="A55" s="0" t="s">
        <v>127</v>
      </c>
      <c r="B55" s="0" t="s">
        <v>136</v>
      </c>
      <c r="C55" s="0" t="s">
        <v>137</v>
      </c>
      <c r="D55" s="0" t="s">
        <v>43</v>
      </c>
      <c r="E55" s="0" t="n">
        <v>25</v>
      </c>
      <c r="G55" s="0" t="n">
        <f aca="false">E55-F55</f>
        <v>25</v>
      </c>
      <c r="H55" s="10" t="n">
        <f aca="false">(F55/(F55+G55))</f>
        <v>0</v>
      </c>
      <c r="I55" s="0" t="s">
        <v>18</v>
      </c>
    </row>
    <row r="56" customFormat="false" ht="15.75" hidden="false" customHeight="false" outlineLevel="0" collapsed="false">
      <c r="A56" s="0" t="s">
        <v>127</v>
      </c>
      <c r="B56" s="0" t="s">
        <v>138</v>
      </c>
      <c r="C56" s="0" t="s">
        <v>139</v>
      </c>
      <c r="D56" s="0" t="s">
        <v>46</v>
      </c>
      <c r="E56" s="0" t="n">
        <v>15</v>
      </c>
      <c r="G56" s="0" t="n">
        <f aca="false">E56-F56</f>
        <v>15</v>
      </c>
      <c r="H56" s="10" t="n">
        <f aca="false">(F56/(F56+G56))</f>
        <v>0</v>
      </c>
      <c r="I56" s="0" t="s">
        <v>18</v>
      </c>
    </row>
    <row r="57" customFormat="false" ht="15.75" hidden="false" customHeight="false" outlineLevel="0" collapsed="false">
      <c r="A57" s="0" t="s">
        <v>127</v>
      </c>
      <c r="B57" s="0" t="s">
        <v>140</v>
      </c>
      <c r="C57" s="0" t="s">
        <v>141</v>
      </c>
      <c r="D57" s="0" t="s">
        <v>32</v>
      </c>
      <c r="E57" s="0" t="n">
        <v>25</v>
      </c>
      <c r="G57" s="0" t="n">
        <f aca="false">E57-F57</f>
        <v>25</v>
      </c>
      <c r="H57" s="10" t="n">
        <f aca="false">(F57/(F57+G57))</f>
        <v>0</v>
      </c>
      <c r="I57" s="0" t="s">
        <v>2</v>
      </c>
    </row>
    <row r="58" customFormat="false" ht="15.75" hidden="false" customHeight="false" outlineLevel="0" collapsed="false">
      <c r="A58" s="0" t="s">
        <v>127</v>
      </c>
      <c r="B58" s="0" t="s">
        <v>142</v>
      </c>
      <c r="C58" s="0" t="s">
        <v>143</v>
      </c>
      <c r="D58" s="0" t="s">
        <v>40</v>
      </c>
      <c r="E58" s="0" t="n">
        <v>40</v>
      </c>
      <c r="G58" s="0" t="n">
        <f aca="false">E58-F58</f>
        <v>40</v>
      </c>
      <c r="H58" s="10" t="n">
        <f aca="false">(F58/(F58+G58))</f>
        <v>0</v>
      </c>
      <c r="I58" s="0" t="s">
        <v>2</v>
      </c>
    </row>
    <row r="59" customFormat="false" ht="15.75" hidden="false" customHeight="false" outlineLevel="0" collapsed="false">
      <c r="A59" s="0" t="s">
        <v>127</v>
      </c>
      <c r="B59" s="0" t="s">
        <v>144</v>
      </c>
      <c r="C59" s="0" t="s">
        <v>145</v>
      </c>
      <c r="D59" s="0" t="s">
        <v>82</v>
      </c>
      <c r="E59" s="0" t="n">
        <v>25</v>
      </c>
      <c r="G59" s="0" t="n">
        <f aca="false">E59-F59</f>
        <v>25</v>
      </c>
      <c r="H59" s="10" t="n">
        <f aca="false">(F59/(F59+G59))</f>
        <v>0</v>
      </c>
      <c r="I59" s="0" t="s">
        <v>2</v>
      </c>
    </row>
    <row r="60" customFormat="false" ht="15.75" hidden="false" customHeight="false" outlineLevel="0" collapsed="false">
      <c r="A60" s="0" t="s">
        <v>127</v>
      </c>
      <c r="B60" s="0" t="s">
        <v>146</v>
      </c>
      <c r="C60" s="0" t="s">
        <v>147</v>
      </c>
      <c r="D60" s="0" t="s">
        <v>43</v>
      </c>
      <c r="E60" s="0" t="n">
        <v>25</v>
      </c>
      <c r="G60" s="0" t="n">
        <f aca="false">E60-F60</f>
        <v>25</v>
      </c>
      <c r="H60" s="10" t="n">
        <f aca="false">(F60/(F60+G60))</f>
        <v>0</v>
      </c>
      <c r="I60" s="0" t="s">
        <v>2</v>
      </c>
    </row>
    <row r="61" customFormat="false" ht="15.75" hidden="false" customHeight="false" outlineLevel="0" collapsed="false">
      <c r="A61" s="0" t="s">
        <v>127</v>
      </c>
      <c r="B61" s="0" t="s">
        <v>148</v>
      </c>
      <c r="C61" s="0" t="s">
        <v>149</v>
      </c>
      <c r="D61" s="0" t="s">
        <v>43</v>
      </c>
      <c r="E61" s="0" t="n">
        <v>20</v>
      </c>
      <c r="G61" s="0" t="n">
        <f aca="false">E61-F61</f>
        <v>20</v>
      </c>
      <c r="H61" s="10" t="n">
        <f aca="false">(F61/(F61+G61))</f>
        <v>0</v>
      </c>
      <c r="I61" s="0" t="s">
        <v>2</v>
      </c>
    </row>
    <row r="62" customFormat="false" ht="15.75" hidden="false" customHeight="false" outlineLevel="0" collapsed="false">
      <c r="A62" s="0" t="s">
        <v>127</v>
      </c>
      <c r="B62" s="0" t="s">
        <v>150</v>
      </c>
      <c r="C62" s="0" t="s">
        <v>151</v>
      </c>
      <c r="D62" s="0" t="s">
        <v>46</v>
      </c>
      <c r="E62" s="0" t="n">
        <v>15</v>
      </c>
      <c r="G62" s="0" t="n">
        <f aca="false">E62-F62</f>
        <v>15</v>
      </c>
      <c r="H62" s="10" t="n">
        <f aca="false">(F62/(F62+G62))</f>
        <v>0</v>
      </c>
      <c r="I62" s="0" t="s">
        <v>2</v>
      </c>
    </row>
    <row r="63" customFormat="false" ht="15.75" hidden="false" customHeight="false" outlineLevel="0" collapsed="false">
      <c r="A63" s="0" t="s">
        <v>152</v>
      </c>
      <c r="B63" s="0" t="s">
        <v>153</v>
      </c>
      <c r="C63" s="0" t="s">
        <v>154</v>
      </c>
      <c r="D63" s="0" t="s">
        <v>32</v>
      </c>
      <c r="E63" s="0" t="n">
        <v>20</v>
      </c>
      <c r="G63" s="0" t="n">
        <f aca="false">E63-F63</f>
        <v>20</v>
      </c>
      <c r="H63" s="10" t="n">
        <f aca="false">(F63/(F63+G63))</f>
        <v>0</v>
      </c>
      <c r="I63" s="0" t="s">
        <v>3</v>
      </c>
    </row>
    <row r="64" customFormat="false" ht="15.75" hidden="false" customHeight="false" outlineLevel="0" collapsed="false">
      <c r="A64" s="0" t="s">
        <v>152</v>
      </c>
      <c r="B64" s="0" t="s">
        <v>155</v>
      </c>
      <c r="C64" s="0" t="s">
        <v>156</v>
      </c>
      <c r="D64" s="0" t="s">
        <v>40</v>
      </c>
      <c r="E64" s="0" t="n">
        <v>20</v>
      </c>
      <c r="G64" s="0" t="n">
        <f aca="false">E64-F64</f>
        <v>20</v>
      </c>
      <c r="H64" s="10" t="n">
        <f aca="false">(F64/(F64+G64))</f>
        <v>0</v>
      </c>
      <c r="I64" s="0" t="s">
        <v>3</v>
      </c>
    </row>
    <row r="65" customFormat="false" ht="15.75" hidden="false" customHeight="false" outlineLevel="0" collapsed="false">
      <c r="A65" s="0" t="s">
        <v>152</v>
      </c>
      <c r="B65" s="0" t="s">
        <v>157</v>
      </c>
      <c r="C65" s="0" t="s">
        <v>158</v>
      </c>
      <c r="D65" s="0" t="s">
        <v>32</v>
      </c>
      <c r="E65" s="0" t="n">
        <v>35</v>
      </c>
      <c r="G65" s="0" t="n">
        <f aca="false">E65-F65</f>
        <v>35</v>
      </c>
      <c r="H65" s="10" t="n">
        <f aca="false">(F65/(F65+G65))</f>
        <v>0</v>
      </c>
      <c r="I65" s="0" t="s">
        <v>3</v>
      </c>
    </row>
    <row r="66" customFormat="false" ht="15.75" hidden="false" customHeight="false" outlineLevel="0" collapsed="false">
      <c r="A66" s="0" t="s">
        <v>152</v>
      </c>
      <c r="B66" s="0" t="s">
        <v>159</v>
      </c>
      <c r="C66" s="0" t="s">
        <v>160</v>
      </c>
      <c r="D66" s="0" t="s">
        <v>161</v>
      </c>
      <c r="E66" s="0" t="n">
        <v>35</v>
      </c>
      <c r="G66" s="0" t="n">
        <f aca="false">E66-F66</f>
        <v>35</v>
      </c>
      <c r="H66" s="10" t="n">
        <f aca="false">(F66/(F66+G66))</f>
        <v>0</v>
      </c>
      <c r="I66" s="0" t="s">
        <v>3</v>
      </c>
    </row>
    <row r="67" customFormat="false" ht="15.75" hidden="false" customHeight="false" outlineLevel="0" collapsed="false">
      <c r="A67" s="0" t="s">
        <v>152</v>
      </c>
      <c r="B67" s="0" t="s">
        <v>162</v>
      </c>
      <c r="C67" s="0" t="s">
        <v>163</v>
      </c>
      <c r="D67" s="0" t="s">
        <v>161</v>
      </c>
      <c r="E67" s="0" t="n">
        <v>35</v>
      </c>
      <c r="G67" s="0" t="n">
        <f aca="false">E67-F67</f>
        <v>35</v>
      </c>
      <c r="H67" s="10" t="n">
        <f aca="false">(F67/(F67+G67))</f>
        <v>0</v>
      </c>
      <c r="I67" s="0" t="s">
        <v>3</v>
      </c>
    </row>
    <row r="68" customFormat="false" ht="15.75" hidden="false" customHeight="false" outlineLevel="0" collapsed="false">
      <c r="A68" s="0" t="s">
        <v>152</v>
      </c>
      <c r="B68" s="0" t="s">
        <v>164</v>
      </c>
      <c r="C68" s="0" t="s">
        <v>165</v>
      </c>
      <c r="D68" s="0" t="s">
        <v>161</v>
      </c>
      <c r="E68" s="0" t="n">
        <v>35</v>
      </c>
      <c r="G68" s="0" t="n">
        <f aca="false">E68-F68</f>
        <v>35</v>
      </c>
      <c r="H68" s="10" t="n">
        <f aca="false">(F68/(F68+G68))</f>
        <v>0</v>
      </c>
      <c r="I68" s="0" t="s">
        <v>3</v>
      </c>
    </row>
    <row r="69" customFormat="false" ht="15.75" hidden="false" customHeight="false" outlineLevel="0" collapsed="false">
      <c r="A69" s="0" t="s">
        <v>152</v>
      </c>
      <c r="B69" s="0" t="s">
        <v>166</v>
      </c>
      <c r="C69" s="0" t="s">
        <v>167</v>
      </c>
      <c r="D69" s="0" t="s">
        <v>161</v>
      </c>
      <c r="E69" s="0" t="n">
        <v>35</v>
      </c>
      <c r="G69" s="0" t="n">
        <f aca="false">E69-F69</f>
        <v>35</v>
      </c>
      <c r="H69" s="10" t="n">
        <f aca="false">(F69/(F69+G69))</f>
        <v>0</v>
      </c>
      <c r="I69" s="0" t="s">
        <v>3</v>
      </c>
    </row>
    <row r="70" customFormat="false" ht="15.75" hidden="false" customHeight="false" outlineLevel="0" collapsed="false">
      <c r="A70" s="0" t="s">
        <v>152</v>
      </c>
      <c r="B70" s="0" t="s">
        <v>168</v>
      </c>
      <c r="C70" s="0" t="s">
        <v>169</v>
      </c>
      <c r="D70" s="0" t="s">
        <v>46</v>
      </c>
      <c r="E70" s="0" t="n">
        <v>15</v>
      </c>
      <c r="G70" s="0" t="n">
        <f aca="false">E70-F70</f>
        <v>15</v>
      </c>
      <c r="H70" s="10" t="n">
        <f aca="false">(F70/(F70+G70))</f>
        <v>0</v>
      </c>
      <c r="I70" s="0" t="s">
        <v>3</v>
      </c>
    </row>
    <row r="71" customFormat="false" ht="15.75" hidden="false" customHeight="false" outlineLevel="0" collapsed="false">
      <c r="A71" s="0" t="s">
        <v>170</v>
      </c>
      <c r="B71" s="0" t="s">
        <v>171</v>
      </c>
      <c r="C71" s="0" t="s">
        <v>172</v>
      </c>
      <c r="D71" s="0" t="s">
        <v>173</v>
      </c>
      <c r="E71" s="0" t="n">
        <v>45</v>
      </c>
      <c r="G71" s="0" t="n">
        <f aca="false">E71-F71</f>
        <v>45</v>
      </c>
      <c r="H71" s="10" t="n">
        <f aca="false">(F71/(F71+G71))</f>
        <v>0</v>
      </c>
      <c r="I71" s="0" t="s">
        <v>18</v>
      </c>
    </row>
    <row r="72" customFormat="false" ht="15.75" hidden="false" customHeight="false" outlineLevel="0" collapsed="false">
      <c r="A72" s="0" t="s">
        <v>170</v>
      </c>
      <c r="B72" s="0" t="s">
        <v>174</v>
      </c>
      <c r="C72" s="0" t="s">
        <v>175</v>
      </c>
      <c r="D72" s="0" t="s">
        <v>173</v>
      </c>
      <c r="E72" s="0" t="n">
        <v>40</v>
      </c>
      <c r="G72" s="0" t="n">
        <f aca="false">E72-F72</f>
        <v>40</v>
      </c>
      <c r="H72" s="10" t="n">
        <f aca="false">(F72/(F72+G72))</f>
        <v>0</v>
      </c>
      <c r="I72" s="0" t="s">
        <v>18</v>
      </c>
    </row>
    <row r="73" customFormat="false" ht="15.75" hidden="false" customHeight="false" outlineLevel="0" collapsed="false">
      <c r="A73" s="0" t="s">
        <v>170</v>
      </c>
      <c r="B73" s="0" t="s">
        <v>176</v>
      </c>
      <c r="C73" s="0" t="s">
        <v>177</v>
      </c>
      <c r="D73" s="0" t="s">
        <v>173</v>
      </c>
      <c r="E73" s="0" t="n">
        <v>35</v>
      </c>
      <c r="G73" s="0" t="n">
        <f aca="false">E73-F73</f>
        <v>35</v>
      </c>
      <c r="H73" s="10" t="n">
        <f aca="false">(F73/(F73+G73))</f>
        <v>0</v>
      </c>
      <c r="I73" s="0" t="s">
        <v>18</v>
      </c>
    </row>
    <row r="74" customFormat="false" ht="15.75" hidden="false" customHeight="false" outlineLevel="0" collapsed="false">
      <c r="A74" s="0" t="s">
        <v>170</v>
      </c>
      <c r="B74" s="0" t="s">
        <v>178</v>
      </c>
      <c r="C74" s="0" t="s">
        <v>179</v>
      </c>
      <c r="D74" s="0" t="s">
        <v>46</v>
      </c>
      <c r="E74" s="0" t="n">
        <v>15</v>
      </c>
      <c r="G74" s="0" t="n">
        <f aca="false">E74-F74</f>
        <v>15</v>
      </c>
      <c r="H74" s="10" t="n">
        <f aca="false">(F74/(F74+G74))</f>
        <v>0</v>
      </c>
      <c r="I74" s="0" t="s">
        <v>18</v>
      </c>
    </row>
    <row r="75" customFormat="false" ht="15.75" hidden="false" customHeight="false" outlineLevel="0" collapsed="false">
      <c r="A75" s="0" t="s">
        <v>170</v>
      </c>
      <c r="B75" s="0" t="s">
        <v>180</v>
      </c>
      <c r="C75" s="0" t="s">
        <v>181</v>
      </c>
      <c r="D75" s="0" t="s">
        <v>173</v>
      </c>
      <c r="E75" s="0" t="n">
        <v>35</v>
      </c>
      <c r="G75" s="0" t="n">
        <f aca="false">E75-F75</f>
        <v>35</v>
      </c>
      <c r="H75" s="10" t="n">
        <f aca="false">(F75/(F75+G75))</f>
        <v>0</v>
      </c>
      <c r="I75" s="0" t="s">
        <v>2</v>
      </c>
    </row>
    <row r="76" customFormat="false" ht="15.75" hidden="false" customHeight="false" outlineLevel="0" collapsed="false">
      <c r="A76" s="0" t="s">
        <v>170</v>
      </c>
      <c r="B76" s="0" t="s">
        <v>182</v>
      </c>
      <c r="C76" s="0" t="s">
        <v>183</v>
      </c>
      <c r="D76" s="0" t="s">
        <v>173</v>
      </c>
      <c r="E76" s="0" t="n">
        <v>25</v>
      </c>
      <c r="G76" s="0" t="n">
        <f aca="false">E76-F76</f>
        <v>25</v>
      </c>
      <c r="H76" s="10" t="n">
        <f aca="false">(F76/(F76+G76))</f>
        <v>0</v>
      </c>
      <c r="I76" s="0" t="s">
        <v>2</v>
      </c>
    </row>
    <row r="77" customFormat="false" ht="15.75" hidden="false" customHeight="false" outlineLevel="0" collapsed="false">
      <c r="A77" s="0" t="s">
        <v>170</v>
      </c>
      <c r="B77" s="0" t="s">
        <v>184</v>
      </c>
      <c r="C77" s="0" t="s">
        <v>185</v>
      </c>
      <c r="D77" s="0" t="s">
        <v>173</v>
      </c>
      <c r="E77" s="0" t="n">
        <v>35</v>
      </c>
      <c r="G77" s="0" t="n">
        <f aca="false">E77-F77</f>
        <v>35</v>
      </c>
      <c r="H77" s="10" t="n">
        <f aca="false">(F77/(F77+G77))</f>
        <v>0</v>
      </c>
      <c r="I77" s="0" t="s">
        <v>2</v>
      </c>
    </row>
    <row r="78" customFormat="false" ht="15.75" hidden="false" customHeight="false" outlineLevel="0" collapsed="false">
      <c r="A78" s="0" t="s">
        <v>170</v>
      </c>
      <c r="B78" s="0" t="s">
        <v>186</v>
      </c>
      <c r="C78" s="0" t="s">
        <v>187</v>
      </c>
      <c r="D78" s="0" t="s">
        <v>46</v>
      </c>
      <c r="E78" s="0" t="n">
        <v>15</v>
      </c>
      <c r="G78" s="0" t="n">
        <f aca="false">E78-F78</f>
        <v>15</v>
      </c>
      <c r="H78" s="10" t="n">
        <f aca="false">(F78/(F78+G78))</f>
        <v>0</v>
      </c>
      <c r="I78" s="0" t="s">
        <v>2</v>
      </c>
    </row>
    <row r="79" customFormat="false" ht="15.75" hidden="false" customHeight="false" outlineLevel="0" collapsed="false">
      <c r="A79" s="0" t="s">
        <v>188</v>
      </c>
      <c r="B79" s="0" t="s">
        <v>189</v>
      </c>
      <c r="C79" s="0" t="s">
        <v>190</v>
      </c>
      <c r="D79" s="0" t="s">
        <v>24</v>
      </c>
      <c r="E79" s="0" t="n">
        <v>20</v>
      </c>
      <c r="G79" s="0" t="n">
        <f aca="false">E79-F79</f>
        <v>20</v>
      </c>
      <c r="H79" s="10" t="n">
        <f aca="false">(F79/(F79+G79))</f>
        <v>0</v>
      </c>
      <c r="I79" s="0" t="s">
        <v>18</v>
      </c>
    </row>
    <row r="80" customFormat="false" ht="15.75" hidden="false" customHeight="false" outlineLevel="0" collapsed="false">
      <c r="A80" s="0" t="s">
        <v>188</v>
      </c>
      <c r="B80" s="0" t="s">
        <v>191</v>
      </c>
      <c r="C80" s="0" t="s">
        <v>192</v>
      </c>
      <c r="D80" s="0" t="s">
        <v>24</v>
      </c>
      <c r="E80" s="0" t="n">
        <v>10</v>
      </c>
      <c r="G80" s="0" t="n">
        <f aca="false">E80-F80</f>
        <v>10</v>
      </c>
      <c r="H80" s="10" t="n">
        <f aca="false">(F80/(F80+G80))</f>
        <v>0</v>
      </c>
      <c r="I80" s="0" t="s">
        <v>18</v>
      </c>
    </row>
    <row r="81" customFormat="false" ht="15.75" hidden="false" customHeight="false" outlineLevel="0" collapsed="false">
      <c r="A81" s="0" t="s">
        <v>188</v>
      </c>
      <c r="B81" s="0" t="s">
        <v>193</v>
      </c>
      <c r="C81" s="0" t="s">
        <v>194</v>
      </c>
      <c r="D81" s="0" t="s">
        <v>24</v>
      </c>
      <c r="E81" s="0" t="n">
        <v>10</v>
      </c>
      <c r="G81" s="0" t="n">
        <f aca="false">E81-F81</f>
        <v>10</v>
      </c>
      <c r="H81" s="10" t="n">
        <f aca="false">(F81/(F81+G81))</f>
        <v>0</v>
      </c>
      <c r="I81" s="0" t="s">
        <v>18</v>
      </c>
    </row>
    <row r="82" customFormat="false" ht="15.75" hidden="false" customHeight="false" outlineLevel="0" collapsed="false">
      <c r="A82" s="0" t="s">
        <v>188</v>
      </c>
      <c r="B82" s="0" t="s">
        <v>195</v>
      </c>
      <c r="C82" s="0" t="s">
        <v>196</v>
      </c>
      <c r="D82" s="0" t="s">
        <v>24</v>
      </c>
      <c r="E82" s="0" t="n">
        <v>10</v>
      </c>
      <c r="G82" s="0" t="n">
        <f aca="false">E82-F82</f>
        <v>10</v>
      </c>
      <c r="H82" s="10" t="n">
        <f aca="false">(F82/(F82+G82))</f>
        <v>0</v>
      </c>
      <c r="I82" s="0" t="s">
        <v>2</v>
      </c>
    </row>
    <row r="83" customFormat="false" ht="15.75" hidden="false" customHeight="false" outlineLevel="0" collapsed="false">
      <c r="A83" s="0" t="s">
        <v>188</v>
      </c>
      <c r="B83" s="0" t="s">
        <v>197</v>
      </c>
      <c r="C83" s="0" t="s">
        <v>198</v>
      </c>
      <c r="D83" s="0" t="s">
        <v>24</v>
      </c>
      <c r="E83" s="0" t="n">
        <v>15</v>
      </c>
      <c r="G83" s="0" t="n">
        <f aca="false">E83-F83</f>
        <v>15</v>
      </c>
      <c r="H83" s="10" t="n">
        <f aca="false">(F83/(F83+G83))</f>
        <v>0</v>
      </c>
      <c r="I83" s="0" t="s">
        <v>2</v>
      </c>
    </row>
    <row r="84" customFormat="false" ht="15.75" hidden="false" customHeight="false" outlineLevel="0" collapsed="false">
      <c r="A84" s="0" t="s">
        <v>188</v>
      </c>
      <c r="B84" s="0" t="s">
        <v>199</v>
      </c>
      <c r="C84" s="0" t="s">
        <v>200</v>
      </c>
      <c r="D84" s="0" t="s">
        <v>24</v>
      </c>
      <c r="E84" s="0" t="n">
        <v>15</v>
      </c>
      <c r="G84" s="0" t="n">
        <f aca="false">E84-F84</f>
        <v>15</v>
      </c>
      <c r="H84" s="10" t="n">
        <f aca="false">(F84/(F84+G84))</f>
        <v>0</v>
      </c>
      <c r="I84" s="0" t="s">
        <v>2</v>
      </c>
    </row>
    <row r="85" customFormat="false" ht="15.75" hidden="false" customHeight="false" outlineLevel="0" collapsed="false">
      <c r="A85" s="0" t="s">
        <v>188</v>
      </c>
      <c r="B85" s="0" t="s">
        <v>201</v>
      </c>
      <c r="C85" s="0" t="s">
        <v>202</v>
      </c>
      <c r="D85" s="0" t="s">
        <v>24</v>
      </c>
      <c r="E85" s="0" t="n">
        <v>15</v>
      </c>
      <c r="G85" s="0" t="n">
        <f aca="false">E85-F85</f>
        <v>15</v>
      </c>
      <c r="H85" s="10" t="n">
        <f aca="false">(F85/(F85+G85))</f>
        <v>0</v>
      </c>
      <c r="I85" s="0" t="s">
        <v>3</v>
      </c>
    </row>
    <row r="86" customFormat="false" ht="15.75" hidden="false" customHeight="false" outlineLevel="0" collapsed="false">
      <c r="A86" s="0" t="s">
        <v>188</v>
      </c>
      <c r="B86" s="0" t="s">
        <v>203</v>
      </c>
      <c r="C86" s="0" t="s">
        <v>204</v>
      </c>
      <c r="D86" s="0" t="s">
        <v>24</v>
      </c>
      <c r="E86" s="0" t="n">
        <v>15</v>
      </c>
      <c r="G86" s="0" t="n">
        <f aca="false">E86-F86</f>
        <v>15</v>
      </c>
      <c r="H86" s="10" t="n">
        <f aca="false">(F86/(F86+G86))</f>
        <v>0</v>
      </c>
      <c r="I86" s="0" t="s">
        <v>3</v>
      </c>
    </row>
    <row r="87" customFormat="false" ht="15.75" hidden="false" customHeight="false" outlineLevel="0" collapsed="false">
      <c r="A87" s="0" t="s">
        <v>188</v>
      </c>
      <c r="B87" s="0" t="s">
        <v>205</v>
      </c>
      <c r="C87" s="0" t="s">
        <v>206</v>
      </c>
      <c r="D87" s="0" t="s">
        <v>24</v>
      </c>
      <c r="E87" s="0" t="n">
        <v>15</v>
      </c>
      <c r="G87" s="0" t="n">
        <f aca="false">E87-F87</f>
        <v>15</v>
      </c>
      <c r="H87" s="10" t="n">
        <f aca="false">(F87/(F87+G87))</f>
        <v>0</v>
      </c>
      <c r="I87" s="0" t="s">
        <v>3</v>
      </c>
    </row>
    <row r="88" customFormat="false" ht="15.75" hidden="false" customHeight="false" outlineLevel="0" collapsed="false">
      <c r="A88" s="0" t="s">
        <v>207</v>
      </c>
      <c r="B88" s="0" t="s">
        <v>208</v>
      </c>
      <c r="C88" s="0" t="s">
        <v>209</v>
      </c>
      <c r="D88" s="0" t="s">
        <v>210</v>
      </c>
      <c r="E88" s="0" t="n">
        <v>20</v>
      </c>
      <c r="G88" s="0" t="n">
        <f aca="false">E88-F88</f>
        <v>20</v>
      </c>
      <c r="H88" s="10" t="n">
        <f aca="false">(F88/(F88+G88))</f>
        <v>0</v>
      </c>
      <c r="I88" s="0" t="s">
        <v>18</v>
      </c>
    </row>
    <row r="89" customFormat="false" ht="15.75" hidden="false" customHeight="false" outlineLevel="0" collapsed="false">
      <c r="A89" s="0" t="s">
        <v>207</v>
      </c>
      <c r="B89" s="0" t="s">
        <v>211</v>
      </c>
      <c r="C89" s="0" t="s">
        <v>212</v>
      </c>
      <c r="D89" s="0" t="s">
        <v>210</v>
      </c>
      <c r="E89" s="0" t="n">
        <v>20</v>
      </c>
      <c r="G89" s="0" t="n">
        <f aca="false">E89-F89</f>
        <v>20</v>
      </c>
      <c r="H89" s="10" t="n">
        <f aca="false">(F89/(F89+G89))</f>
        <v>0</v>
      </c>
      <c r="I89" s="0" t="s">
        <v>2</v>
      </c>
    </row>
    <row r="90" customFormat="false" ht="15.75" hidden="false" customHeight="false" outlineLevel="0" collapsed="false">
      <c r="A90" s="0" t="s">
        <v>207</v>
      </c>
      <c r="B90" s="0" t="s">
        <v>213</v>
      </c>
      <c r="C90" s="0" t="s">
        <v>214</v>
      </c>
      <c r="D90" s="0" t="s">
        <v>210</v>
      </c>
      <c r="E90" s="0" t="n">
        <v>20</v>
      </c>
      <c r="G90" s="0" t="n">
        <f aca="false">E90-F90</f>
        <v>20</v>
      </c>
      <c r="H90" s="10" t="n">
        <f aca="false">(F90/(F90+G90))</f>
        <v>0</v>
      </c>
      <c r="I90" s="0" t="s">
        <v>3</v>
      </c>
    </row>
    <row r="91" customFormat="false" ht="15.75" hidden="false" customHeight="false" outlineLevel="0" collapsed="false">
      <c r="A91" s="0" t="s">
        <v>215</v>
      </c>
      <c r="B91" s="0" t="s">
        <v>216</v>
      </c>
      <c r="C91" s="0" t="s">
        <v>217</v>
      </c>
      <c r="D91" s="0" t="s">
        <v>218</v>
      </c>
      <c r="E91" s="0" t="n">
        <v>30</v>
      </c>
      <c r="G91" s="0" t="n">
        <f aca="false">E91-F91</f>
        <v>30</v>
      </c>
      <c r="H91" s="10" t="n">
        <f aca="false">(F91/(F91+G91))</f>
        <v>0</v>
      </c>
      <c r="I91" s="0" t="s">
        <v>18</v>
      </c>
    </row>
    <row r="92" customFormat="false" ht="15.75" hidden="false" customHeight="false" outlineLevel="0" collapsed="false">
      <c r="A92" s="0" t="s">
        <v>215</v>
      </c>
      <c r="B92" s="0" t="s">
        <v>219</v>
      </c>
      <c r="C92" s="0" t="s">
        <v>220</v>
      </c>
      <c r="D92" s="0" t="s">
        <v>210</v>
      </c>
      <c r="E92" s="0" t="n">
        <v>30</v>
      </c>
      <c r="G92" s="0" t="n">
        <f aca="false">E92-F92</f>
        <v>30</v>
      </c>
      <c r="H92" s="10" t="n">
        <f aca="false">(F92/(F92+G92))</f>
        <v>0</v>
      </c>
      <c r="I92" s="0" t="s">
        <v>2</v>
      </c>
    </row>
    <row r="93" customFormat="false" ht="15.75" hidden="false" customHeight="false" outlineLevel="0" collapsed="false">
      <c r="A93" s="0" t="s">
        <v>215</v>
      </c>
      <c r="B93" s="0" t="s">
        <v>221</v>
      </c>
      <c r="C93" s="0" t="s">
        <v>222</v>
      </c>
      <c r="D93" s="0" t="s">
        <v>223</v>
      </c>
      <c r="E93" s="0" t="n">
        <v>35</v>
      </c>
      <c r="G93" s="0" t="n">
        <f aca="false">E93-F93</f>
        <v>35</v>
      </c>
      <c r="H93" s="10" t="n">
        <f aca="false">(F93/(F93+G93))</f>
        <v>0</v>
      </c>
      <c r="I93" s="0" t="s">
        <v>3</v>
      </c>
    </row>
    <row r="94" customFormat="false" ht="15.75" hidden="false" customHeight="false" outlineLevel="0" collapsed="false">
      <c r="A94" s="0" t="s">
        <v>215</v>
      </c>
      <c r="B94" s="0" t="s">
        <v>224</v>
      </c>
      <c r="C94" s="0" t="s">
        <v>225</v>
      </c>
      <c r="D94" s="0" t="s">
        <v>226</v>
      </c>
      <c r="E94" s="0" t="n">
        <v>20</v>
      </c>
      <c r="G94" s="0" t="n">
        <f aca="false">E94-F94</f>
        <v>20</v>
      </c>
      <c r="H94" s="10" t="n">
        <f aca="false">(F94/(F94+G94))</f>
        <v>0</v>
      </c>
      <c r="I94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0" width="25.5"/>
    <col collapsed="false" customWidth="true" hidden="false" outlineLevel="0" max="2" min="2" style="0" width="25.83"/>
    <col collapsed="false" customWidth="true" hidden="false" outlineLevel="0" max="3" min="3" style="0" width="30.83"/>
    <col collapsed="false" customWidth="true" hidden="false" outlineLevel="0" max="4" min="4" style="0" width="12.51"/>
    <col collapsed="false" customWidth="true" hidden="false" outlineLevel="0" max="5" min="5" style="0" width="22.5"/>
  </cols>
  <sheetData>
    <row r="1" customFormat="false" ht="15.75" hidden="false" customHeight="false" outlineLevel="0" collapsed="false">
      <c r="A1" s="9" t="s">
        <v>227</v>
      </c>
      <c r="B1" s="9" t="s">
        <v>228</v>
      </c>
      <c r="C1" s="9" t="s">
        <v>229</v>
      </c>
      <c r="D1" s="9" t="s">
        <v>230</v>
      </c>
      <c r="E1" s="9" t="s">
        <v>231</v>
      </c>
    </row>
    <row r="2" customFormat="false" ht="15.75" hidden="false" customHeight="false" outlineLevel="0" collapsed="false">
      <c r="A2" s="0" t="n">
        <f aca="false">SUM('liste des taches'!E2:E329)</f>
        <v>2210</v>
      </c>
      <c r="B2" s="0" t="n">
        <f aca="false">SUM('liste des taches'!F2:F329)</f>
        <v>0</v>
      </c>
      <c r="C2" s="0" t="n">
        <f aca="false">SUM('liste des taches'!G2:G329)</f>
        <v>2210</v>
      </c>
      <c r="D2" s="11" t="n">
        <f aca="false">(B2/(B2+C2))</f>
        <v>0</v>
      </c>
      <c r="E2" s="12" t="n">
        <f aca="false">((B2+C2)-A2)/A2</f>
        <v>0</v>
      </c>
    </row>
    <row r="3" customFormat="false" ht="15.75" hidden="false" customHeight="false" outlineLevel="0" collapsed="false">
      <c r="C3" s="0" t="n">
        <f aca="false">C2/60</f>
        <v>36.8333333333333</v>
      </c>
      <c r="D3" s="0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5507812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2026-05-09T12:47:34Z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